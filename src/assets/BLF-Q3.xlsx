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618c472bf5a77c1/Documents/"/>
    </mc:Choice>
  </mc:AlternateContent>
  <xr:revisionPtr revIDLastSave="24" documentId="8_{4C5BF28A-CC7D-4C43-A31C-79B327137FEB}" xr6:coauthVersionLast="47" xr6:coauthVersionMax="47" xr10:uidLastSave="{1E769445-DC2A-42FE-9020-63AE29A1D96C}"/>
  <bookViews>
    <workbookView xWindow="-120" yWindow="-120" windowWidth="29040" windowHeight="15720" xr2:uid="{00000000-000D-0000-FFFF-FFFF00000000}"/>
  </bookViews>
  <sheets>
    <sheet name="Lead Sheet" sheetId="1" r:id="rId1"/>
    <sheet name="opex" sheetId="2" r:id="rId2"/>
    <sheet name="Output -2" sheetId="3" r:id="rId3"/>
    <sheet name="Output -3" sheetId="4" r:id="rId4"/>
  </sheets>
  <definedNames>
    <definedName name="_xlnm._FilterDatabase" localSheetId="0" hidden="1">'Lead Sheet'!$A$1:$I$244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9" i="1" l="1"/>
  <c r="B6" i="2" l="1"/>
  <c r="B2" i="2"/>
  <c r="B4" i="2"/>
  <c r="B5" i="2"/>
  <c r="B7" i="2"/>
  <c r="B8" i="2"/>
  <c r="B9" i="2"/>
  <c r="B10" i="2"/>
</calcChain>
</file>

<file path=xl/sharedStrings.xml><?xml version="1.0" encoding="utf-8"?>
<sst xmlns="http://schemas.openxmlformats.org/spreadsheetml/2006/main" count="1252" uniqueCount="177">
  <si>
    <t>Bank Account</t>
  </si>
  <si>
    <t>Payment Date</t>
  </si>
  <si>
    <t>Vendor Name</t>
  </si>
  <si>
    <t>Nature</t>
  </si>
  <si>
    <t>Total Expense Paid</t>
  </si>
  <si>
    <t>Classification</t>
  </si>
  <si>
    <t>Maint-747</t>
  </si>
  <si>
    <t>Ad-Hoc</t>
  </si>
  <si>
    <t>Water &amp; Sewage</t>
  </si>
  <si>
    <t>Ridhi Sidhi Hardware &amp; Electricals</t>
  </si>
  <si>
    <t>Civil &amp; Lifts</t>
  </si>
  <si>
    <t>Pasolite Electric Co</t>
  </si>
  <si>
    <t>Electrical Items</t>
  </si>
  <si>
    <t>Electrical</t>
  </si>
  <si>
    <t>Sunshine Eco Tech Services</t>
  </si>
  <si>
    <t>Amphitheatre</t>
  </si>
  <si>
    <t>Capex</t>
  </si>
  <si>
    <t>OTIS</t>
  </si>
  <si>
    <t>Lift Maintaince</t>
  </si>
  <si>
    <t>Operating</t>
  </si>
  <si>
    <t>Sri Venkateshwara Enterprises</t>
  </si>
  <si>
    <t>Garbage Collection</t>
  </si>
  <si>
    <t>Housekeeping &amp; Waste</t>
  </si>
  <si>
    <t>Sri Lakshmi Power Service</t>
  </si>
  <si>
    <t>EME Tech</t>
  </si>
  <si>
    <t>ClubHouse</t>
  </si>
  <si>
    <t>Neri</t>
  </si>
  <si>
    <t>SVS 3D Pool Services</t>
  </si>
  <si>
    <t>Swimming Pool Maintainance</t>
  </si>
  <si>
    <t>Plumbing Items</t>
  </si>
  <si>
    <t>Drinking Water Can</t>
  </si>
  <si>
    <t>Yash Vacuum Technology</t>
  </si>
  <si>
    <t xml:space="preserve">STP Blower Repairs </t>
  </si>
  <si>
    <t>AMH Services</t>
  </si>
  <si>
    <t>AC Servicing</t>
  </si>
  <si>
    <t>Think Thanx</t>
  </si>
  <si>
    <t>CCTV Maint</t>
  </si>
  <si>
    <t>Safety &amp; Security</t>
  </si>
  <si>
    <t>Misc. Civil Works</t>
  </si>
  <si>
    <t>Jasvanth Singh Nursery</t>
  </si>
  <si>
    <t>Gardening &amp; Landscaping Materials</t>
  </si>
  <si>
    <t>Landscaping &amp; ERT</t>
  </si>
  <si>
    <t>VS4</t>
  </si>
  <si>
    <t>Security Services</t>
  </si>
  <si>
    <t>Elon Facade</t>
  </si>
  <si>
    <t>Strip Light Removal</t>
  </si>
  <si>
    <t>Estate Management</t>
  </si>
  <si>
    <t xml:space="preserve">Lift Battery </t>
  </si>
  <si>
    <t>Trident Holdings</t>
  </si>
  <si>
    <t>Vishwakarma Engeering</t>
  </si>
  <si>
    <t>Mild Steel (MS) Welding for Pole Lights</t>
  </si>
  <si>
    <t>Arrow Interiors</t>
  </si>
  <si>
    <t>Pooja Electricals &amp;Light House</t>
  </si>
  <si>
    <t>SriGaneshAutoElectrical&amp;BatteryWorks</t>
  </si>
  <si>
    <t>UPS Battery</t>
  </si>
  <si>
    <t>STP &amp; WTP Maint</t>
  </si>
  <si>
    <t>Kre38 Labs Pvt Ltd</t>
  </si>
  <si>
    <t>20-Nov-25</t>
  </si>
  <si>
    <t>Urban Blossom</t>
  </si>
  <si>
    <t>Garden Maintenance</t>
  </si>
  <si>
    <t>Vishal Infotech</t>
  </si>
  <si>
    <t>VRFS</t>
  </si>
  <si>
    <t>Plumbers- VRFS</t>
  </si>
  <si>
    <t>Ankya Advisors LLP</t>
  </si>
  <si>
    <t>Finance &amp; Accounts</t>
  </si>
  <si>
    <t>Blaze Design Tech</t>
  </si>
  <si>
    <t>Veer Sports Fitness</t>
  </si>
  <si>
    <t>Treadmill Repairs</t>
  </si>
  <si>
    <t>Glass Window Cleaning</t>
  </si>
  <si>
    <t>Ganesh Enterprises</t>
  </si>
  <si>
    <t>Cemented Road Work - Near West Gate</t>
  </si>
  <si>
    <t>BESCOM</t>
  </si>
  <si>
    <t>Electricity Charges</t>
  </si>
  <si>
    <t>ICICI</t>
  </si>
  <si>
    <t>Bank Charges</t>
  </si>
  <si>
    <t>Amount</t>
  </si>
  <si>
    <t>Classification-1</t>
  </si>
  <si>
    <t>Total</t>
  </si>
  <si>
    <t>Elon Façade</t>
  </si>
  <si>
    <t>Poonam Hardware &amp; Electricals</t>
  </si>
  <si>
    <t>Abu Fabrications</t>
  </si>
  <si>
    <t>3 S VENT TECH</t>
  </si>
  <si>
    <t>Septron Machinaries</t>
  </si>
  <si>
    <t>Aqua Pure Technology</t>
  </si>
  <si>
    <t>Sri Chandrashekar Enterprises</t>
  </si>
  <si>
    <t>N Ravindra</t>
  </si>
  <si>
    <t>Karnataka Motors Rewinding Co</t>
  </si>
  <si>
    <t>Sai Suchith Pest Control</t>
  </si>
  <si>
    <t>Rachuu Smart Facility Services</t>
  </si>
  <si>
    <t>S.V Power Tek Systems</t>
  </si>
  <si>
    <t>Mukajjar Smarttech India</t>
  </si>
  <si>
    <t>D.M.&amp; Sons</t>
  </si>
  <si>
    <t>Asianet Groups</t>
  </si>
  <si>
    <t>SR Office Suppliers</t>
  </si>
  <si>
    <t>Genex Utility &amp; Management</t>
  </si>
  <si>
    <t>AHS Branding Solutions</t>
  </si>
  <si>
    <t>Boundary Masters</t>
  </si>
  <si>
    <t>V R FACILITY SERVICES</t>
  </si>
  <si>
    <t>Sree Sai Ganesh Minerals</t>
  </si>
  <si>
    <t>S R Office Suppliers</t>
  </si>
  <si>
    <t>Pooja Electricals &amp; Light House</t>
  </si>
  <si>
    <t>Sri Sai Enterprises</t>
  </si>
  <si>
    <t>Parivom Technologies Pvt Ltd</t>
  </si>
  <si>
    <t>ATEE ENTERPRISES</t>
  </si>
  <si>
    <t>Santosh Kumar IS</t>
  </si>
  <si>
    <t>Nehal Enterprises</t>
  </si>
  <si>
    <t>TOYS &amp; SPORTS</t>
  </si>
  <si>
    <t>National Electricals</t>
  </si>
  <si>
    <t xml:space="preserve">Septron Machinaries </t>
  </si>
  <si>
    <t>Madeena Nursery</t>
  </si>
  <si>
    <t>Neo Goal Vault Fintech PVT LTD</t>
  </si>
  <si>
    <t>SLVP</t>
  </si>
  <si>
    <t>SLV BATTERY POINT</t>
  </si>
  <si>
    <t>S Rani</t>
  </si>
  <si>
    <t>Krupa Tiles Links LLP</t>
  </si>
  <si>
    <t>Bhavani Hardware</t>
  </si>
  <si>
    <t>Ad-hoc</t>
  </si>
  <si>
    <t>Clubhouse</t>
  </si>
  <si>
    <t>Estate management</t>
  </si>
  <si>
    <t>Glass Cleaning All blocks</t>
  </si>
  <si>
    <t>Glass Repair&amp; Maint</t>
  </si>
  <si>
    <t>STP-Acopustic Panel for Amber Block</t>
  </si>
  <si>
    <t>STP- Fresh Air and Exhaust System Set</t>
  </si>
  <si>
    <t>Screw Press Machine for STP-Amber</t>
  </si>
  <si>
    <t>RO-Water Plant</t>
  </si>
  <si>
    <t>CCTV Accessories</t>
  </si>
  <si>
    <t>STP &amp; WTP Consumeables</t>
  </si>
  <si>
    <t>Supply of Water Tanker</t>
  </si>
  <si>
    <t xml:space="preserve">Motor Purchase </t>
  </si>
  <si>
    <t>Plumbing Consumeables</t>
  </si>
  <si>
    <t xml:space="preserve">Pest Control materials </t>
  </si>
  <si>
    <t>Carrom Board Set</t>
  </si>
  <si>
    <t>Water Tank Cleaning</t>
  </si>
  <si>
    <t>Purchase of Disel</t>
  </si>
  <si>
    <t>STP Tank Cleaning</t>
  </si>
  <si>
    <t>Housekeeping Materials</t>
  </si>
  <si>
    <t xml:space="preserve">Bank Charges </t>
  </si>
  <si>
    <t>Accounting</t>
  </si>
  <si>
    <t>Signange Board Repair</t>
  </si>
  <si>
    <t xml:space="preserve">Fencing of walls </t>
  </si>
  <si>
    <t>Misc.Garden Maintenance</t>
  </si>
  <si>
    <t>Stationary Items Purchased</t>
  </si>
  <si>
    <t>Waltr A subscription</t>
  </si>
  <si>
    <t>STP- Exhaust System Purchase</t>
  </si>
  <si>
    <t>STP- Blue Block Ventillation System</t>
  </si>
  <si>
    <t>Motor Repair</t>
  </si>
  <si>
    <t>Motor Purchase</t>
  </si>
  <si>
    <t>CH-Granite Purchase</t>
  </si>
  <si>
    <t>Park-plus Services</t>
  </si>
  <si>
    <t>Screw Press Machine for STP-Crimson</t>
  </si>
  <si>
    <t>Squash Court Repair</t>
  </si>
  <si>
    <t>Painting of Parking Area</t>
  </si>
  <si>
    <t>DG Consumeables</t>
  </si>
  <si>
    <t>VSC, Civil, Painting &amp; Waterproofing Works</t>
  </si>
  <si>
    <t>South Gate Drainage Railing work</t>
  </si>
  <si>
    <t>Swimming Pool Consumables</t>
  </si>
  <si>
    <t>Label Printer</t>
  </si>
  <si>
    <t>STP-Plumbing Items</t>
  </si>
  <si>
    <t>STP-Butterfly valve with Accessories</t>
  </si>
  <si>
    <t>STP-Gear wheel &amp; Blower Pulley</t>
  </si>
  <si>
    <t>Dumbells for Gym</t>
  </si>
  <si>
    <t>Basketball Court Net &amp; Ring</t>
  </si>
  <si>
    <t>Housekeeping Materials Purchases</t>
  </si>
  <si>
    <t xml:space="preserve">Purchase of Plants </t>
  </si>
  <si>
    <t xml:space="preserve">Subscription for Zoho - Inventory </t>
  </si>
  <si>
    <t>Purcahse of Battery</t>
  </si>
  <si>
    <t>Purchase Of Milk</t>
  </si>
  <si>
    <t>Purchase of Tap</t>
  </si>
  <si>
    <t>Purchase of Upin for Pet Area</t>
  </si>
  <si>
    <t>Purchase of M Sand</t>
  </si>
  <si>
    <t>VRFS-Estate Management</t>
  </si>
  <si>
    <t>VRFS-Electrical</t>
  </si>
  <si>
    <t>VRFS-Water &amp; Sewage</t>
  </si>
  <si>
    <t>VRFS-Civil &amp; Lifts</t>
  </si>
  <si>
    <t>VRFS-Housekeeping &amp; Waste</t>
  </si>
  <si>
    <t>VRFS-Clubhouse</t>
  </si>
  <si>
    <t>VRFS-Landscaping &amp; 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</si>
</sst>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mm\-dd\-yyyy"/>
    <numFmt numFmtId="165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15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15" fontId="3" fillId="0" borderId="4" xfId="0" quotePrefix="1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165" fontId="0" fillId="0" borderId="6" xfId="1" applyNumberFormat="1" applyFont="1" applyBorder="1"/>
    <xf numFmtId="0" fontId="4" fillId="0" borderId="7" xfId="0" applyFont="1" applyBorder="1" applyAlignment="1">
      <alignment horizontal="left"/>
    </xf>
    <xf numFmtId="0" fontId="3" fillId="0" borderId="6" xfId="0" applyFont="1" applyBorder="1"/>
    <xf numFmtId="0" fontId="3" fillId="0" borderId="9" xfId="0" applyFont="1" applyBorder="1" applyAlignment="1">
      <alignment horizontal="left"/>
    </xf>
    <xf numFmtId="165" fontId="0" fillId="0" borderId="9" xfId="1" applyNumberFormat="1" applyFont="1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164" fontId="3" fillId="0" borderId="5" xfId="0" applyNumberFormat="1" applyFont="1" applyBorder="1" applyAlignment="1">
      <alignment horizontal="left"/>
    </xf>
    <xf numFmtId="164" fontId="3" fillId="0" borderId="8" xfId="0" applyNumberFormat="1" applyFont="1" applyBorder="1" applyAlignment="1">
      <alignment horizontal="left"/>
    </xf>
    <xf numFmtId="165" fontId="0" fillId="0" borderId="0" xfId="1" applyNumberFormat="1" applyFont="1"/>
    <xf numFmtId="0" fontId="5" fillId="0" borderId="0" xfId="0" applyFont="1"/>
    <xf numFmtId="165" fontId="5" fillId="3" borderId="0" xfId="1" applyNumberFormat="1" applyFont="1" applyFill="1"/>
    <xf numFmtId="3" fontId="0" fillId="0" borderId="0" xfId="0" applyNumberFormat="1"/>
    <xf numFmtId="0" fontId="6" fillId="0" borderId="0" xfId="0" applyFont="1"/>
    <xf numFmtId="0" fontId="7" fillId="0" borderId="0" xfId="0" applyFont="1"/>
    <xf numFmtId="165" fontId="6" fillId="4" borderId="0" xfId="0" applyNumberFormat="1" applyFont="1" applyFill="1"/>
    <xf numFmtId="3" fontId="7" fillId="0" borderId="0" xfId="0" applyNumberFormat="1" applyFont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wrapText="1"/>
    </xf>
    <xf numFmtId="164" fontId="3" fillId="0" borderId="15" xfId="0" applyNumberFormat="1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165" fontId="0" fillId="0" borderId="11" xfId="1" quotePrefix="1" applyNumberFormat="1" applyFont="1" applyBorder="1"/>
    <xf numFmtId="0" fontId="3" fillId="0" borderId="11" xfId="0" applyFont="1" applyBorder="1"/>
    <xf numFmtId="0" fontId="3" fillId="0" borderId="12" xfId="0" applyFont="1" applyBorder="1" applyAlignment="1">
      <alignment horizontal="left" wrapText="1"/>
    </xf>
    <xf numFmtId="0" fontId="8" fillId="0" borderId="7" xfId="0" applyFont="1" applyBorder="1"/>
    <xf numFmtId="0" fontId="8" fillId="0" borderId="10" xfId="0" applyFont="1" applyBorder="1"/>
    <xf numFmtId="14" fontId="2" fillId="2" borderId="2" xfId="0" applyNumberFormat="1" applyFont="1" applyFill="1" applyBorder="1" applyAlignment="1">
      <alignment horizontal="center"/>
    </xf>
    <xf numFmtId="14" fontId="3" fillId="0" borderId="11" xfId="0" quotePrefix="1" applyNumberFormat="1" applyFont="1" applyBorder="1" applyAlignment="1">
      <alignment horizontal="right"/>
    </xf>
    <xf numFmtId="14" fontId="3" fillId="0" borderId="6" xfId="0" quotePrefix="1" applyNumberFormat="1" applyFont="1" applyBorder="1" applyAlignment="1">
      <alignment horizontal="right"/>
    </xf>
    <xf numFmtId="14" fontId="3" fillId="0" borderId="9" xfId="0" quotePrefix="1" applyNumberFormat="1" applyFont="1" applyBorder="1" applyAlignment="1">
      <alignment horizontal="right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44"/>
  <sheetViews>
    <sheetView showGridLines="0" tabSelected="1" workbookViewId="0">
      <selection activeCell="C250" sqref="C250"/>
    </sheetView>
  </sheetViews>
  <sheetFormatPr defaultRowHeight="15" x14ac:dyDescent="0.25"/>
  <cols>
    <col min="1" max="1" width="13" style="13" bestFit="1" customWidth="1"/>
    <col min="2" max="2" width="33.85546875" style="39" customWidth="1"/>
    <col min="3" max="3" width="33.85546875" bestFit="1" customWidth="1"/>
    <col min="4" max="4" width="30.28515625" customWidth="1"/>
    <col min="5" max="5" width="26.28515625" customWidth="1"/>
    <col min="6" max="6" width="19.5703125" bestFit="1" customWidth="1"/>
    <col min="7" max="7" width="35.7109375" customWidth="1"/>
  </cols>
  <sheetData>
    <row r="1" spans="1:7" ht="15.75" thickBot="1" x14ac:dyDescent="0.3">
      <c r="A1" s="14" t="s">
        <v>0</v>
      </c>
      <c r="B1" s="35" t="s">
        <v>1</v>
      </c>
      <c r="C1" s="2" t="s">
        <v>2</v>
      </c>
      <c r="D1" s="25" t="s">
        <v>4</v>
      </c>
      <c r="E1" s="2" t="s">
        <v>3</v>
      </c>
      <c r="F1" s="26" t="s">
        <v>5</v>
      </c>
      <c r="G1" s="27" t="s">
        <v>76</v>
      </c>
    </row>
    <row r="2" spans="1:7" hidden="1" x14ac:dyDescent="0.25">
      <c r="A2" s="28" t="s">
        <v>6</v>
      </c>
      <c r="B2" s="36">
        <v>45938</v>
      </c>
      <c r="C2" s="29" t="s">
        <v>78</v>
      </c>
      <c r="D2" s="30">
        <v>100162</v>
      </c>
      <c r="E2" s="31" t="s">
        <v>19</v>
      </c>
      <c r="F2" s="29" t="s">
        <v>46</v>
      </c>
      <c r="G2" s="32" t="s">
        <v>119</v>
      </c>
    </row>
    <row r="3" spans="1:7" hidden="1" x14ac:dyDescent="0.25">
      <c r="A3" s="15" t="s">
        <v>6</v>
      </c>
      <c r="B3" s="37">
        <v>45938</v>
      </c>
      <c r="C3" s="6" t="s">
        <v>79</v>
      </c>
      <c r="D3" s="8">
        <v>12360</v>
      </c>
      <c r="E3" s="10" t="s">
        <v>7</v>
      </c>
      <c r="F3" s="6" t="s">
        <v>13</v>
      </c>
      <c r="G3" s="33" t="s">
        <v>12</v>
      </c>
    </row>
    <row r="4" spans="1:7" hidden="1" x14ac:dyDescent="0.25">
      <c r="A4" s="15" t="s">
        <v>6</v>
      </c>
      <c r="B4" s="37">
        <v>45955</v>
      </c>
      <c r="C4" s="6" t="s">
        <v>52</v>
      </c>
      <c r="D4" s="8">
        <v>3210</v>
      </c>
      <c r="E4" s="10" t="s">
        <v>7</v>
      </c>
      <c r="F4" s="6" t="s">
        <v>13</v>
      </c>
      <c r="G4" s="33" t="s">
        <v>12</v>
      </c>
    </row>
    <row r="5" spans="1:7" hidden="1" x14ac:dyDescent="0.25">
      <c r="A5" s="15" t="s">
        <v>6</v>
      </c>
      <c r="B5" s="37">
        <v>45938</v>
      </c>
      <c r="C5" s="6" t="s">
        <v>80</v>
      </c>
      <c r="D5" s="8">
        <v>6000</v>
      </c>
      <c r="E5" s="10" t="s">
        <v>7</v>
      </c>
      <c r="F5" s="6" t="s">
        <v>117</v>
      </c>
      <c r="G5" s="33" t="s">
        <v>120</v>
      </c>
    </row>
    <row r="6" spans="1:7" hidden="1" x14ac:dyDescent="0.25">
      <c r="A6" s="15" t="s">
        <v>6</v>
      </c>
      <c r="B6" s="37">
        <v>45940</v>
      </c>
      <c r="C6" s="6" t="s">
        <v>81</v>
      </c>
      <c r="D6" s="8">
        <v>134324</v>
      </c>
      <c r="E6" s="10" t="s">
        <v>16</v>
      </c>
      <c r="F6" s="6" t="s">
        <v>8</v>
      </c>
      <c r="G6" s="33" t="s">
        <v>121</v>
      </c>
    </row>
    <row r="7" spans="1:7" hidden="1" x14ac:dyDescent="0.25">
      <c r="A7" s="15" t="s">
        <v>6</v>
      </c>
      <c r="B7" s="37">
        <v>45940</v>
      </c>
      <c r="C7" s="6" t="s">
        <v>81</v>
      </c>
      <c r="D7" s="8">
        <v>237443</v>
      </c>
      <c r="E7" s="10" t="s">
        <v>16</v>
      </c>
      <c r="F7" s="6" t="s">
        <v>8</v>
      </c>
      <c r="G7" s="33" t="s">
        <v>122</v>
      </c>
    </row>
    <row r="8" spans="1:7" hidden="1" x14ac:dyDescent="0.25">
      <c r="A8" s="15" t="s">
        <v>6</v>
      </c>
      <c r="B8" s="37">
        <v>45942</v>
      </c>
      <c r="C8" s="6" t="s">
        <v>31</v>
      </c>
      <c r="D8" s="8">
        <v>279840</v>
      </c>
      <c r="E8" s="10" t="s">
        <v>7</v>
      </c>
      <c r="F8" s="6" t="s">
        <v>8</v>
      </c>
      <c r="G8" s="33" t="s">
        <v>32</v>
      </c>
    </row>
    <row r="9" spans="1:7" hidden="1" x14ac:dyDescent="0.25">
      <c r="A9" s="15" t="s">
        <v>6</v>
      </c>
      <c r="B9" s="37">
        <v>45942</v>
      </c>
      <c r="C9" s="6" t="s">
        <v>82</v>
      </c>
      <c r="D9" s="8">
        <v>343400</v>
      </c>
      <c r="E9" s="10" t="s">
        <v>16</v>
      </c>
      <c r="F9" s="6" t="s">
        <v>8</v>
      </c>
      <c r="G9" s="33" t="s">
        <v>123</v>
      </c>
    </row>
    <row r="10" spans="1:7" hidden="1" x14ac:dyDescent="0.25">
      <c r="A10" s="15" t="s">
        <v>6</v>
      </c>
      <c r="B10" s="37">
        <v>45945</v>
      </c>
      <c r="C10" s="6" t="s">
        <v>42</v>
      </c>
      <c r="D10" s="8">
        <v>1942948</v>
      </c>
      <c r="E10" s="31" t="s">
        <v>19</v>
      </c>
      <c r="F10" s="6" t="s">
        <v>37</v>
      </c>
      <c r="G10" s="33" t="s">
        <v>43</v>
      </c>
    </row>
    <row r="11" spans="1:7" hidden="1" x14ac:dyDescent="0.25">
      <c r="A11" s="15" t="s">
        <v>6</v>
      </c>
      <c r="B11" s="37">
        <v>45942</v>
      </c>
      <c r="C11" s="6" t="s">
        <v>42</v>
      </c>
      <c r="D11" s="8">
        <v>51225</v>
      </c>
      <c r="E11" s="31" t="s">
        <v>19</v>
      </c>
      <c r="F11" s="6" t="s">
        <v>37</v>
      </c>
      <c r="G11" s="33" t="s">
        <v>43</v>
      </c>
    </row>
    <row r="12" spans="1:7" hidden="1" x14ac:dyDescent="0.25">
      <c r="A12" s="15" t="s">
        <v>6</v>
      </c>
      <c r="B12" s="37">
        <v>45942</v>
      </c>
      <c r="C12" s="6" t="s">
        <v>42</v>
      </c>
      <c r="D12" s="8">
        <v>190740</v>
      </c>
      <c r="E12" s="31" t="s">
        <v>19</v>
      </c>
      <c r="F12" s="6" t="s">
        <v>37</v>
      </c>
      <c r="G12" s="33" t="s">
        <v>43</v>
      </c>
    </row>
    <row r="13" spans="1:7" hidden="1" x14ac:dyDescent="0.25">
      <c r="A13" s="15" t="s">
        <v>6</v>
      </c>
      <c r="B13" s="37">
        <v>45942</v>
      </c>
      <c r="C13" s="6" t="s">
        <v>83</v>
      </c>
      <c r="D13" s="8">
        <v>112100</v>
      </c>
      <c r="E13" s="10" t="s">
        <v>16</v>
      </c>
      <c r="F13" s="6" t="s">
        <v>8</v>
      </c>
      <c r="G13" s="33" t="s">
        <v>124</v>
      </c>
    </row>
    <row r="14" spans="1:7" hidden="1" x14ac:dyDescent="0.25">
      <c r="A14" s="15" t="s">
        <v>6</v>
      </c>
      <c r="B14" s="37">
        <v>45942</v>
      </c>
      <c r="C14" s="6" t="s">
        <v>35</v>
      </c>
      <c r="D14" s="8">
        <v>19269</v>
      </c>
      <c r="E14" s="10" t="s">
        <v>7</v>
      </c>
      <c r="F14" s="6" t="s">
        <v>37</v>
      </c>
      <c r="G14" s="33" t="s">
        <v>125</v>
      </c>
    </row>
    <row r="15" spans="1:7" hidden="1" x14ac:dyDescent="0.25">
      <c r="A15" s="15" t="s">
        <v>6</v>
      </c>
      <c r="B15" s="37">
        <v>45942</v>
      </c>
      <c r="C15" s="6" t="s">
        <v>58</v>
      </c>
      <c r="D15" s="8">
        <v>529545</v>
      </c>
      <c r="E15" s="31" t="s">
        <v>19</v>
      </c>
      <c r="F15" s="6" t="s">
        <v>41</v>
      </c>
      <c r="G15" s="33" t="s">
        <v>59</v>
      </c>
    </row>
    <row r="16" spans="1:7" hidden="1" x14ac:dyDescent="0.25">
      <c r="A16" s="15" t="s">
        <v>6</v>
      </c>
      <c r="B16" s="37">
        <v>45942</v>
      </c>
      <c r="C16" s="6" t="s">
        <v>20</v>
      </c>
      <c r="D16" s="8">
        <v>125080</v>
      </c>
      <c r="E16" s="31" t="s">
        <v>19</v>
      </c>
      <c r="F16" s="6" t="s">
        <v>22</v>
      </c>
      <c r="G16" s="33" t="s">
        <v>21</v>
      </c>
    </row>
    <row r="17" spans="1:7" hidden="1" x14ac:dyDescent="0.25">
      <c r="A17" s="15" t="s">
        <v>6</v>
      </c>
      <c r="B17" s="37">
        <v>45944</v>
      </c>
      <c r="C17" s="6" t="s">
        <v>84</v>
      </c>
      <c r="D17" s="8">
        <v>8625</v>
      </c>
      <c r="E17" s="10" t="s">
        <v>7</v>
      </c>
      <c r="F17" s="6" t="s">
        <v>8</v>
      </c>
      <c r="G17" s="33" t="s">
        <v>126</v>
      </c>
    </row>
    <row r="18" spans="1:7" hidden="1" x14ac:dyDescent="0.25">
      <c r="A18" s="15" t="s">
        <v>6</v>
      </c>
      <c r="B18" s="37">
        <v>45936</v>
      </c>
      <c r="C18" s="6" t="s">
        <v>85</v>
      </c>
      <c r="D18" s="8">
        <v>53500</v>
      </c>
      <c r="E18" s="31" t="s">
        <v>19</v>
      </c>
      <c r="F18" s="6" t="s">
        <v>8</v>
      </c>
      <c r="G18" s="33" t="s">
        <v>127</v>
      </c>
    </row>
    <row r="19" spans="1:7" hidden="1" x14ac:dyDescent="0.25">
      <c r="A19" s="15" t="s">
        <v>6</v>
      </c>
      <c r="B19" s="37">
        <v>45936</v>
      </c>
      <c r="C19" s="6" t="s">
        <v>86</v>
      </c>
      <c r="D19" s="8">
        <v>23482</v>
      </c>
      <c r="E19" s="10" t="s">
        <v>16</v>
      </c>
      <c r="F19" s="6" t="s">
        <v>8</v>
      </c>
      <c r="G19" s="33" t="s">
        <v>128</v>
      </c>
    </row>
    <row r="20" spans="1:7" hidden="1" x14ac:dyDescent="0.25">
      <c r="A20" s="15" t="s">
        <v>6</v>
      </c>
      <c r="B20" s="37">
        <v>45936</v>
      </c>
      <c r="C20" s="6" t="s">
        <v>79</v>
      </c>
      <c r="D20" s="8">
        <v>5430</v>
      </c>
      <c r="E20" s="10" t="s">
        <v>7</v>
      </c>
      <c r="F20" s="6" t="s">
        <v>8</v>
      </c>
      <c r="G20" s="33" t="s">
        <v>129</v>
      </c>
    </row>
    <row r="21" spans="1:7" hidden="1" x14ac:dyDescent="0.25">
      <c r="A21" s="15" t="s">
        <v>6</v>
      </c>
      <c r="B21" s="37">
        <v>45936</v>
      </c>
      <c r="C21" s="6" t="s">
        <v>87</v>
      </c>
      <c r="D21" s="8">
        <v>22597</v>
      </c>
      <c r="E21" s="10" t="s">
        <v>7</v>
      </c>
      <c r="F21" s="6" t="s">
        <v>22</v>
      </c>
      <c r="G21" s="33" t="s">
        <v>130</v>
      </c>
    </row>
    <row r="22" spans="1:7" hidden="1" x14ac:dyDescent="0.25">
      <c r="A22" s="15" t="s">
        <v>6</v>
      </c>
      <c r="B22" s="37">
        <v>45936</v>
      </c>
      <c r="C22" s="6" t="s">
        <v>66</v>
      </c>
      <c r="D22" s="8">
        <v>14160</v>
      </c>
      <c r="E22" s="10" t="s">
        <v>7</v>
      </c>
      <c r="F22" s="6" t="s">
        <v>117</v>
      </c>
      <c r="G22" s="33" t="s">
        <v>131</v>
      </c>
    </row>
    <row r="23" spans="1:7" hidden="1" x14ac:dyDescent="0.25">
      <c r="A23" s="15" t="s">
        <v>6</v>
      </c>
      <c r="B23" s="37">
        <v>45936</v>
      </c>
      <c r="C23" s="6" t="s">
        <v>79</v>
      </c>
      <c r="D23" s="8">
        <v>2450</v>
      </c>
      <c r="E23" s="10" t="s">
        <v>7</v>
      </c>
      <c r="F23" s="6" t="s">
        <v>13</v>
      </c>
      <c r="G23" s="33" t="s">
        <v>12</v>
      </c>
    </row>
    <row r="24" spans="1:7" hidden="1" x14ac:dyDescent="0.25">
      <c r="A24" s="15" t="s">
        <v>6</v>
      </c>
      <c r="B24" s="37">
        <v>45936</v>
      </c>
      <c r="C24" s="6" t="s">
        <v>79</v>
      </c>
      <c r="D24" s="8">
        <v>800</v>
      </c>
      <c r="E24" s="10" t="s">
        <v>7</v>
      </c>
      <c r="F24" s="6" t="s">
        <v>13</v>
      </c>
      <c r="G24" s="33" t="s">
        <v>12</v>
      </c>
    </row>
    <row r="25" spans="1:7" hidden="1" x14ac:dyDescent="0.25">
      <c r="A25" s="15" t="s">
        <v>6</v>
      </c>
      <c r="B25" s="37">
        <v>45936</v>
      </c>
      <c r="C25" s="6" t="s">
        <v>88</v>
      </c>
      <c r="D25" s="8">
        <v>24780</v>
      </c>
      <c r="E25" s="10" t="s">
        <v>7</v>
      </c>
      <c r="F25" s="6" t="s">
        <v>8</v>
      </c>
      <c r="G25" s="33" t="s">
        <v>29</v>
      </c>
    </row>
    <row r="26" spans="1:7" hidden="1" x14ac:dyDescent="0.25">
      <c r="A26" s="15" t="s">
        <v>6</v>
      </c>
      <c r="B26" s="37">
        <v>45936</v>
      </c>
      <c r="C26" s="6" t="s">
        <v>89</v>
      </c>
      <c r="D26" s="8">
        <v>54910</v>
      </c>
      <c r="E26" s="10" t="s">
        <v>16</v>
      </c>
      <c r="F26" s="6" t="s">
        <v>10</v>
      </c>
      <c r="G26" s="33" t="s">
        <v>47</v>
      </c>
    </row>
    <row r="27" spans="1:7" hidden="1" x14ac:dyDescent="0.25">
      <c r="A27" s="15" t="s">
        <v>6</v>
      </c>
      <c r="B27" s="37">
        <v>45936</v>
      </c>
      <c r="C27" s="6" t="s">
        <v>90</v>
      </c>
      <c r="D27" s="8">
        <v>26354</v>
      </c>
      <c r="E27" s="10" t="s">
        <v>7</v>
      </c>
      <c r="F27" s="6" t="s">
        <v>8</v>
      </c>
      <c r="G27" s="33" t="s">
        <v>132</v>
      </c>
    </row>
    <row r="28" spans="1:7" hidden="1" x14ac:dyDescent="0.25">
      <c r="A28" s="15" t="s">
        <v>6</v>
      </c>
      <c r="B28" s="37">
        <v>45936</v>
      </c>
      <c r="C28" s="6" t="s">
        <v>91</v>
      </c>
      <c r="D28" s="8">
        <v>55088</v>
      </c>
      <c r="E28" s="31" t="s">
        <v>19</v>
      </c>
      <c r="F28" s="6" t="s">
        <v>13</v>
      </c>
      <c r="G28" s="33" t="s">
        <v>133</v>
      </c>
    </row>
    <row r="29" spans="1:7" hidden="1" x14ac:dyDescent="0.25">
      <c r="A29" s="15" t="s">
        <v>6</v>
      </c>
      <c r="B29" s="37">
        <v>45936</v>
      </c>
      <c r="C29" s="6" t="s">
        <v>80</v>
      </c>
      <c r="D29" s="8">
        <v>10412</v>
      </c>
      <c r="E29" s="10" t="s">
        <v>7</v>
      </c>
      <c r="F29" s="6" t="s">
        <v>117</v>
      </c>
      <c r="G29" s="33" t="s">
        <v>120</v>
      </c>
    </row>
    <row r="30" spans="1:7" hidden="1" x14ac:dyDescent="0.25">
      <c r="A30" s="15" t="s">
        <v>6</v>
      </c>
      <c r="B30" s="37">
        <v>45936</v>
      </c>
      <c r="C30" s="6" t="s">
        <v>11</v>
      </c>
      <c r="D30" s="8">
        <v>17848</v>
      </c>
      <c r="E30" s="10" t="s">
        <v>7</v>
      </c>
      <c r="F30" s="6" t="s">
        <v>13</v>
      </c>
      <c r="G30" s="33" t="s">
        <v>12</v>
      </c>
    </row>
    <row r="31" spans="1:7" hidden="1" x14ac:dyDescent="0.25">
      <c r="A31" s="15" t="s">
        <v>6</v>
      </c>
      <c r="B31" s="37">
        <v>45936</v>
      </c>
      <c r="C31" s="6" t="s">
        <v>92</v>
      </c>
      <c r="D31" s="8">
        <v>293159</v>
      </c>
      <c r="E31" s="10" t="s">
        <v>7</v>
      </c>
      <c r="F31" s="6" t="s">
        <v>8</v>
      </c>
      <c r="G31" s="33" t="s">
        <v>134</v>
      </c>
    </row>
    <row r="32" spans="1:7" hidden="1" x14ac:dyDescent="0.25">
      <c r="A32" s="15" t="s">
        <v>6</v>
      </c>
      <c r="B32" s="37">
        <v>45946</v>
      </c>
      <c r="C32" s="6" t="s">
        <v>11</v>
      </c>
      <c r="D32" s="8">
        <v>32775</v>
      </c>
      <c r="E32" s="10" t="s">
        <v>7</v>
      </c>
      <c r="F32" s="6" t="s">
        <v>13</v>
      </c>
      <c r="G32" s="33" t="s">
        <v>12</v>
      </c>
    </row>
    <row r="33" spans="1:7" hidden="1" x14ac:dyDescent="0.25">
      <c r="A33" s="15" t="s">
        <v>6</v>
      </c>
      <c r="B33" s="37">
        <v>45946</v>
      </c>
      <c r="C33" s="6" t="s">
        <v>93</v>
      </c>
      <c r="D33" s="8">
        <v>82072</v>
      </c>
      <c r="E33" s="10" t="s">
        <v>7</v>
      </c>
      <c r="F33" s="6" t="s">
        <v>22</v>
      </c>
      <c r="G33" s="33" t="s">
        <v>135</v>
      </c>
    </row>
    <row r="34" spans="1:7" hidden="1" x14ac:dyDescent="0.25">
      <c r="A34" s="15" t="s">
        <v>6</v>
      </c>
      <c r="B34" s="37">
        <v>45946</v>
      </c>
      <c r="C34" s="6" t="s">
        <v>71</v>
      </c>
      <c r="D34" s="8">
        <v>948770</v>
      </c>
      <c r="E34" s="31" t="s">
        <v>19</v>
      </c>
      <c r="F34" s="6" t="s">
        <v>13</v>
      </c>
      <c r="G34" s="33" t="s">
        <v>72</v>
      </c>
    </row>
    <row r="35" spans="1:7" hidden="1" x14ac:dyDescent="0.25">
      <c r="A35" s="15" t="s">
        <v>6</v>
      </c>
      <c r="B35" s="37">
        <v>45946</v>
      </c>
      <c r="C35" s="6" t="s">
        <v>73</v>
      </c>
      <c r="D35" s="8">
        <v>11.8</v>
      </c>
      <c r="E35" s="31" t="s">
        <v>19</v>
      </c>
      <c r="F35" s="6" t="s">
        <v>64</v>
      </c>
      <c r="G35" s="33" t="s">
        <v>136</v>
      </c>
    </row>
    <row r="36" spans="1:7" hidden="1" x14ac:dyDescent="0.25">
      <c r="A36" s="15" t="s">
        <v>6</v>
      </c>
      <c r="B36" s="37">
        <v>45946</v>
      </c>
      <c r="C36" s="6" t="s">
        <v>63</v>
      </c>
      <c r="D36" s="8">
        <v>106068</v>
      </c>
      <c r="E36" s="31" t="s">
        <v>19</v>
      </c>
      <c r="F36" s="6" t="s">
        <v>64</v>
      </c>
      <c r="G36" s="33" t="s">
        <v>137</v>
      </c>
    </row>
    <row r="37" spans="1:7" hidden="1" x14ac:dyDescent="0.25">
      <c r="A37" s="15" t="s">
        <v>6</v>
      </c>
      <c r="B37" s="37">
        <v>45947</v>
      </c>
      <c r="C37" s="6" t="s">
        <v>94</v>
      </c>
      <c r="D37" s="8">
        <v>423213</v>
      </c>
      <c r="E37" s="31" t="s">
        <v>19</v>
      </c>
      <c r="F37" s="6" t="s">
        <v>8</v>
      </c>
      <c r="G37" s="33" t="s">
        <v>55</v>
      </c>
    </row>
    <row r="38" spans="1:7" x14ac:dyDescent="0.25">
      <c r="A38" s="15" t="s">
        <v>6</v>
      </c>
      <c r="B38" s="37">
        <v>45947</v>
      </c>
      <c r="C38" s="6" t="s">
        <v>95</v>
      </c>
      <c r="D38" s="8">
        <v>113172</v>
      </c>
      <c r="E38" s="10" t="s">
        <v>7</v>
      </c>
      <c r="F38" s="6" t="s">
        <v>46</v>
      </c>
      <c r="G38" s="33" t="s">
        <v>138</v>
      </c>
    </row>
    <row r="39" spans="1:7" hidden="1" x14ac:dyDescent="0.25">
      <c r="A39" s="15" t="s">
        <v>6</v>
      </c>
      <c r="B39" s="37">
        <v>45955</v>
      </c>
      <c r="C39" s="6" t="s">
        <v>52</v>
      </c>
      <c r="D39" s="8">
        <v>9881</v>
      </c>
      <c r="E39" s="10" t="s">
        <v>116</v>
      </c>
      <c r="F39" s="6" t="s">
        <v>13</v>
      </c>
      <c r="G39" s="33" t="s">
        <v>12</v>
      </c>
    </row>
    <row r="40" spans="1:7" hidden="1" x14ac:dyDescent="0.25">
      <c r="A40" s="15" t="s">
        <v>6</v>
      </c>
      <c r="B40" s="37">
        <v>45955</v>
      </c>
      <c r="C40" s="6" t="s">
        <v>52</v>
      </c>
      <c r="D40" s="8">
        <v>8154</v>
      </c>
      <c r="E40" s="10" t="s">
        <v>116</v>
      </c>
      <c r="F40" s="6" t="s">
        <v>13</v>
      </c>
      <c r="G40" s="33" t="s">
        <v>12</v>
      </c>
    </row>
    <row r="41" spans="1:7" hidden="1" x14ac:dyDescent="0.25">
      <c r="A41" s="15" t="s">
        <v>6</v>
      </c>
      <c r="B41" s="37">
        <v>45947</v>
      </c>
      <c r="C41" s="6" t="s">
        <v>87</v>
      </c>
      <c r="D41" s="8">
        <v>18113</v>
      </c>
      <c r="E41" s="10" t="s">
        <v>7</v>
      </c>
      <c r="F41" s="6" t="s">
        <v>22</v>
      </c>
      <c r="G41" s="33" t="s">
        <v>130</v>
      </c>
    </row>
    <row r="42" spans="1:7" hidden="1" x14ac:dyDescent="0.25">
      <c r="A42" s="15" t="s">
        <v>6</v>
      </c>
      <c r="B42" s="37">
        <v>45947</v>
      </c>
      <c r="C42" s="6" t="s">
        <v>96</v>
      </c>
      <c r="D42" s="8">
        <v>34491</v>
      </c>
      <c r="E42" s="10" t="s">
        <v>16</v>
      </c>
      <c r="F42" s="6" t="s">
        <v>37</v>
      </c>
      <c r="G42" s="33" t="s">
        <v>139</v>
      </c>
    </row>
    <row r="43" spans="1:7" hidden="1" x14ac:dyDescent="0.25">
      <c r="A43" s="15" t="s">
        <v>6</v>
      </c>
      <c r="B43" s="37">
        <v>45947</v>
      </c>
      <c r="C43" s="6" t="s">
        <v>96</v>
      </c>
      <c r="D43" s="8">
        <v>88765</v>
      </c>
      <c r="E43" s="10" t="s">
        <v>16</v>
      </c>
      <c r="F43" s="6" t="s">
        <v>37</v>
      </c>
      <c r="G43" s="33" t="s">
        <v>139</v>
      </c>
    </row>
    <row r="44" spans="1:7" hidden="1" x14ac:dyDescent="0.25">
      <c r="A44" s="15" t="s">
        <v>6</v>
      </c>
      <c r="B44" s="37">
        <v>45947</v>
      </c>
      <c r="C44" s="6" t="s">
        <v>96</v>
      </c>
      <c r="D44" s="8">
        <v>36091</v>
      </c>
      <c r="E44" s="10" t="s">
        <v>16</v>
      </c>
      <c r="F44" s="6" t="s">
        <v>37</v>
      </c>
      <c r="G44" s="33" t="s">
        <v>139</v>
      </c>
    </row>
    <row r="45" spans="1:7" hidden="1" x14ac:dyDescent="0.25">
      <c r="A45" s="15" t="s">
        <v>6</v>
      </c>
      <c r="B45" s="37">
        <v>45947</v>
      </c>
      <c r="C45" s="6" t="s">
        <v>96</v>
      </c>
      <c r="D45" s="8">
        <v>65075</v>
      </c>
      <c r="E45" s="10" t="s">
        <v>16</v>
      </c>
      <c r="F45" s="6" t="s">
        <v>37</v>
      </c>
      <c r="G45" s="33" t="s">
        <v>139</v>
      </c>
    </row>
    <row r="46" spans="1:7" hidden="1" x14ac:dyDescent="0.25">
      <c r="A46" s="15" t="s">
        <v>6</v>
      </c>
      <c r="B46" s="37">
        <v>45947</v>
      </c>
      <c r="C46" s="6" t="s">
        <v>96</v>
      </c>
      <c r="D46" s="8">
        <v>174401</v>
      </c>
      <c r="E46" s="10" t="s">
        <v>16</v>
      </c>
      <c r="F46" s="6" t="s">
        <v>37</v>
      </c>
      <c r="G46" s="33" t="s">
        <v>139</v>
      </c>
    </row>
    <row r="47" spans="1:7" hidden="1" x14ac:dyDescent="0.25">
      <c r="A47" s="15" t="s">
        <v>6</v>
      </c>
      <c r="B47" s="37">
        <v>45947</v>
      </c>
      <c r="C47" s="6" t="s">
        <v>96</v>
      </c>
      <c r="D47" s="8">
        <v>23600</v>
      </c>
      <c r="E47" s="10" t="s">
        <v>16</v>
      </c>
      <c r="F47" s="6" t="s">
        <v>37</v>
      </c>
      <c r="G47" s="33" t="s">
        <v>139</v>
      </c>
    </row>
    <row r="48" spans="1:7" hidden="1" x14ac:dyDescent="0.25">
      <c r="A48" s="15" t="s">
        <v>6</v>
      </c>
      <c r="B48" s="37">
        <v>45940</v>
      </c>
      <c r="C48" s="6" t="s">
        <v>27</v>
      </c>
      <c r="D48" s="8">
        <v>24780</v>
      </c>
      <c r="E48" s="31" t="s">
        <v>19</v>
      </c>
      <c r="F48" s="6" t="s">
        <v>117</v>
      </c>
      <c r="G48" s="33" t="s">
        <v>28</v>
      </c>
    </row>
    <row r="49" spans="1:7" hidden="1" x14ac:dyDescent="0.25">
      <c r="A49" s="15" t="s">
        <v>6</v>
      </c>
      <c r="B49" s="37">
        <v>45940</v>
      </c>
      <c r="C49" s="6" t="s">
        <v>35</v>
      </c>
      <c r="D49" s="8">
        <v>8850</v>
      </c>
      <c r="E49" s="31" t="s">
        <v>19</v>
      </c>
      <c r="F49" s="6" t="s">
        <v>37</v>
      </c>
      <c r="G49" s="33" t="s">
        <v>36</v>
      </c>
    </row>
    <row r="50" spans="1:7" hidden="1" x14ac:dyDescent="0.25">
      <c r="A50" s="15" t="s">
        <v>6</v>
      </c>
      <c r="B50" s="37">
        <v>45939</v>
      </c>
      <c r="C50" s="6" t="s">
        <v>97</v>
      </c>
      <c r="D50" s="8">
        <v>89809.2</v>
      </c>
      <c r="E50" s="31" t="s">
        <v>19</v>
      </c>
      <c r="F50" s="6" t="s">
        <v>46</v>
      </c>
      <c r="G50" s="33" t="s">
        <v>170</v>
      </c>
    </row>
    <row r="51" spans="1:7" hidden="1" x14ac:dyDescent="0.25">
      <c r="A51" s="15" t="s">
        <v>6</v>
      </c>
      <c r="B51" s="37">
        <v>45939</v>
      </c>
      <c r="C51" s="6" t="s">
        <v>97</v>
      </c>
      <c r="D51" s="8">
        <v>63966.33</v>
      </c>
      <c r="E51" s="31" t="s">
        <v>19</v>
      </c>
      <c r="F51" s="6" t="s">
        <v>46</v>
      </c>
      <c r="G51" s="33" t="s">
        <v>170</v>
      </c>
    </row>
    <row r="52" spans="1:7" hidden="1" x14ac:dyDescent="0.25">
      <c r="A52" s="15" t="s">
        <v>6</v>
      </c>
      <c r="B52" s="37">
        <v>45939</v>
      </c>
      <c r="C52" s="6" t="s">
        <v>97</v>
      </c>
      <c r="D52" s="8">
        <v>40335.360000000001</v>
      </c>
      <c r="E52" s="31" t="s">
        <v>19</v>
      </c>
      <c r="F52" s="6" t="s">
        <v>46</v>
      </c>
      <c r="G52" s="33" t="s">
        <v>170</v>
      </c>
    </row>
    <row r="53" spans="1:7" hidden="1" x14ac:dyDescent="0.25">
      <c r="A53" s="15" t="s">
        <v>6</v>
      </c>
      <c r="B53" s="37">
        <v>45939</v>
      </c>
      <c r="C53" s="6" t="s">
        <v>97</v>
      </c>
      <c r="D53" s="8">
        <v>62539.199999999997</v>
      </c>
      <c r="E53" s="31" t="s">
        <v>19</v>
      </c>
      <c r="F53" s="6" t="s">
        <v>46</v>
      </c>
      <c r="G53" s="33" t="s">
        <v>170</v>
      </c>
    </row>
    <row r="54" spans="1:7" hidden="1" x14ac:dyDescent="0.25">
      <c r="A54" s="15" t="s">
        <v>6</v>
      </c>
      <c r="B54" s="37">
        <v>45939</v>
      </c>
      <c r="C54" s="6" t="s">
        <v>97</v>
      </c>
      <c r="D54" s="8">
        <v>32124.06</v>
      </c>
      <c r="E54" s="31" t="s">
        <v>19</v>
      </c>
      <c r="F54" s="6" t="s">
        <v>46</v>
      </c>
      <c r="G54" s="33" t="s">
        <v>170</v>
      </c>
    </row>
    <row r="55" spans="1:7" hidden="1" x14ac:dyDescent="0.25">
      <c r="A55" s="15" t="s">
        <v>6</v>
      </c>
      <c r="B55" s="37">
        <v>45939</v>
      </c>
      <c r="C55" s="6" t="s">
        <v>97</v>
      </c>
      <c r="D55" s="8">
        <v>195436.01</v>
      </c>
      <c r="E55" s="31" t="s">
        <v>19</v>
      </c>
      <c r="F55" s="6" t="s">
        <v>13</v>
      </c>
      <c r="G55" s="33" t="s">
        <v>171</v>
      </c>
    </row>
    <row r="56" spans="1:7" hidden="1" x14ac:dyDescent="0.25">
      <c r="A56" s="15" t="s">
        <v>6</v>
      </c>
      <c r="B56" s="37">
        <v>45939</v>
      </c>
      <c r="C56" s="6" t="s">
        <v>97</v>
      </c>
      <c r="D56" s="8">
        <v>215425.93</v>
      </c>
      <c r="E56" s="31" t="s">
        <v>19</v>
      </c>
      <c r="F56" s="6" t="s">
        <v>8</v>
      </c>
      <c r="G56" s="33" t="s">
        <v>172</v>
      </c>
    </row>
    <row r="57" spans="1:7" hidden="1" x14ac:dyDescent="0.25">
      <c r="A57" s="15" t="s">
        <v>6</v>
      </c>
      <c r="B57" s="37">
        <v>45939</v>
      </c>
      <c r="C57" s="6" t="s">
        <v>97</v>
      </c>
      <c r="D57" s="8">
        <v>24543</v>
      </c>
      <c r="E57" s="31" t="s">
        <v>19</v>
      </c>
      <c r="F57" s="6" t="s">
        <v>10</v>
      </c>
      <c r="G57" s="33" t="s">
        <v>173</v>
      </c>
    </row>
    <row r="58" spans="1:7" hidden="1" x14ac:dyDescent="0.25">
      <c r="A58" s="15" t="s">
        <v>6</v>
      </c>
      <c r="B58" s="37">
        <v>45939</v>
      </c>
      <c r="C58" s="6" t="s">
        <v>97</v>
      </c>
      <c r="D58" s="8">
        <v>10302</v>
      </c>
      <c r="E58" s="31" t="s">
        <v>19</v>
      </c>
      <c r="F58" s="6" t="s">
        <v>10</v>
      </c>
      <c r="G58" s="33" t="s">
        <v>173</v>
      </c>
    </row>
    <row r="59" spans="1:7" hidden="1" x14ac:dyDescent="0.25">
      <c r="A59" s="15" t="s">
        <v>6</v>
      </c>
      <c r="B59" s="37">
        <v>45939</v>
      </c>
      <c r="C59" s="6" t="s">
        <v>97</v>
      </c>
      <c r="D59" s="8">
        <v>29458.67</v>
      </c>
      <c r="E59" s="31" t="s">
        <v>19</v>
      </c>
      <c r="F59" s="6" t="s">
        <v>22</v>
      </c>
      <c r="G59" s="33" t="s">
        <v>174</v>
      </c>
    </row>
    <row r="60" spans="1:7" hidden="1" x14ac:dyDescent="0.25">
      <c r="A60" s="15" t="s">
        <v>6</v>
      </c>
      <c r="B60" s="37">
        <v>45939</v>
      </c>
      <c r="C60" s="6" t="s">
        <v>97</v>
      </c>
      <c r="D60" s="8">
        <v>624299.18000000005</v>
      </c>
      <c r="E60" s="31" t="s">
        <v>19</v>
      </c>
      <c r="F60" s="6" t="s">
        <v>22</v>
      </c>
      <c r="G60" s="33" t="s">
        <v>174</v>
      </c>
    </row>
    <row r="61" spans="1:7" hidden="1" x14ac:dyDescent="0.25">
      <c r="A61" s="15" t="s">
        <v>6</v>
      </c>
      <c r="B61" s="37">
        <v>45939</v>
      </c>
      <c r="C61" s="6" t="s">
        <v>97</v>
      </c>
      <c r="D61" s="8">
        <v>20200</v>
      </c>
      <c r="E61" s="31" t="s">
        <v>19</v>
      </c>
      <c r="F61" s="6" t="s">
        <v>22</v>
      </c>
      <c r="G61" s="33" t="s">
        <v>174</v>
      </c>
    </row>
    <row r="62" spans="1:7" hidden="1" x14ac:dyDescent="0.25">
      <c r="A62" s="15" t="s">
        <v>6</v>
      </c>
      <c r="B62" s="37">
        <v>45939</v>
      </c>
      <c r="C62" s="6" t="s">
        <v>97</v>
      </c>
      <c r="D62" s="8">
        <v>19190</v>
      </c>
      <c r="E62" s="31" t="s">
        <v>19</v>
      </c>
      <c r="F62" s="6" t="s">
        <v>117</v>
      </c>
      <c r="G62" s="33" t="s">
        <v>175</v>
      </c>
    </row>
    <row r="63" spans="1:7" hidden="1" x14ac:dyDescent="0.25">
      <c r="A63" s="15" t="s">
        <v>6</v>
      </c>
      <c r="B63" s="37">
        <v>45939</v>
      </c>
      <c r="C63" s="6" t="s">
        <v>97</v>
      </c>
      <c r="D63" s="8">
        <v>37087.199999999997</v>
      </c>
      <c r="E63" s="31" t="s">
        <v>19</v>
      </c>
      <c r="F63" s="6" t="s">
        <v>22</v>
      </c>
      <c r="G63" s="33" t="s">
        <v>174</v>
      </c>
    </row>
    <row r="64" spans="1:7" hidden="1" x14ac:dyDescent="0.25">
      <c r="A64" s="15" t="s">
        <v>6</v>
      </c>
      <c r="B64" s="37">
        <v>45939</v>
      </c>
      <c r="C64" s="6" t="s">
        <v>97</v>
      </c>
      <c r="D64" s="8">
        <v>80800</v>
      </c>
      <c r="E64" s="31" t="s">
        <v>19</v>
      </c>
      <c r="F64" s="6" t="s">
        <v>46</v>
      </c>
      <c r="G64" s="33" t="s">
        <v>170</v>
      </c>
    </row>
    <row r="65" spans="1:7" hidden="1" x14ac:dyDescent="0.25">
      <c r="A65" s="15" t="s">
        <v>6</v>
      </c>
      <c r="B65" s="37">
        <v>45940</v>
      </c>
      <c r="C65" s="6" t="s">
        <v>90</v>
      </c>
      <c r="D65" s="8">
        <v>79650</v>
      </c>
      <c r="E65" s="10" t="s">
        <v>7</v>
      </c>
      <c r="F65" s="6" t="s">
        <v>41</v>
      </c>
      <c r="G65" s="33" t="s">
        <v>140</v>
      </c>
    </row>
    <row r="66" spans="1:7" hidden="1" x14ac:dyDescent="0.25">
      <c r="A66" s="15" t="s">
        <v>6</v>
      </c>
      <c r="B66" s="37">
        <v>45940</v>
      </c>
      <c r="C66" s="6" t="s">
        <v>79</v>
      </c>
      <c r="D66" s="8">
        <v>1225</v>
      </c>
      <c r="E66" s="10" t="s">
        <v>7</v>
      </c>
      <c r="F66" s="6" t="s">
        <v>13</v>
      </c>
      <c r="G66" s="33" t="s">
        <v>12</v>
      </c>
    </row>
    <row r="67" spans="1:7" hidden="1" x14ac:dyDescent="0.25">
      <c r="A67" s="15" t="s">
        <v>6</v>
      </c>
      <c r="B67" s="37">
        <v>45940</v>
      </c>
      <c r="C67" s="6" t="s">
        <v>98</v>
      </c>
      <c r="D67" s="8">
        <v>31781.4</v>
      </c>
      <c r="E67" s="31" t="s">
        <v>19</v>
      </c>
      <c r="F67" s="6" t="s">
        <v>8</v>
      </c>
      <c r="G67" s="33" t="s">
        <v>30</v>
      </c>
    </row>
    <row r="68" spans="1:7" hidden="1" x14ac:dyDescent="0.25">
      <c r="A68" s="15" t="s">
        <v>6</v>
      </c>
      <c r="B68" s="37">
        <v>45952</v>
      </c>
      <c r="C68" s="6" t="s">
        <v>99</v>
      </c>
      <c r="D68" s="8">
        <v>10069</v>
      </c>
      <c r="E68" s="10" t="s">
        <v>7</v>
      </c>
      <c r="F68" s="6" t="s">
        <v>22</v>
      </c>
      <c r="G68" s="33" t="s">
        <v>141</v>
      </c>
    </row>
    <row r="69" spans="1:7" hidden="1" x14ac:dyDescent="0.25">
      <c r="A69" s="15" t="s">
        <v>6</v>
      </c>
      <c r="B69" s="37">
        <v>45952</v>
      </c>
      <c r="C69" s="6" t="s">
        <v>79</v>
      </c>
      <c r="D69" s="8">
        <v>1200</v>
      </c>
      <c r="E69" s="10" t="s">
        <v>7</v>
      </c>
      <c r="F69" s="6" t="s">
        <v>8</v>
      </c>
      <c r="G69" s="33" t="s">
        <v>129</v>
      </c>
    </row>
    <row r="70" spans="1:7" hidden="1" x14ac:dyDescent="0.25">
      <c r="A70" s="15" t="s">
        <v>6</v>
      </c>
      <c r="B70" s="37">
        <v>45952</v>
      </c>
      <c r="C70" s="6" t="s">
        <v>79</v>
      </c>
      <c r="D70" s="8">
        <v>736</v>
      </c>
      <c r="E70" s="10" t="s">
        <v>7</v>
      </c>
      <c r="F70" s="6" t="s">
        <v>13</v>
      </c>
      <c r="G70" s="33" t="s">
        <v>12</v>
      </c>
    </row>
    <row r="71" spans="1:7" hidden="1" x14ac:dyDescent="0.25">
      <c r="A71" s="15" t="s">
        <v>6</v>
      </c>
      <c r="B71" s="37">
        <v>45952</v>
      </c>
      <c r="C71" s="6" t="s">
        <v>56</v>
      </c>
      <c r="D71" s="8">
        <v>10597</v>
      </c>
      <c r="E71" s="31" t="s">
        <v>19</v>
      </c>
      <c r="F71" s="6" t="s">
        <v>8</v>
      </c>
      <c r="G71" s="33" t="s">
        <v>142</v>
      </c>
    </row>
    <row r="72" spans="1:7" hidden="1" x14ac:dyDescent="0.25">
      <c r="A72" s="15" t="s">
        <v>6</v>
      </c>
      <c r="B72" s="37">
        <v>45952</v>
      </c>
      <c r="C72" s="6" t="s">
        <v>81</v>
      </c>
      <c r="D72" s="8">
        <v>98530</v>
      </c>
      <c r="E72" s="10" t="s">
        <v>16</v>
      </c>
      <c r="F72" s="6" t="s">
        <v>8</v>
      </c>
      <c r="G72" s="33" t="s">
        <v>143</v>
      </c>
    </row>
    <row r="73" spans="1:7" hidden="1" x14ac:dyDescent="0.25">
      <c r="A73" s="15" t="s">
        <v>6</v>
      </c>
      <c r="B73" s="37">
        <v>45952</v>
      </c>
      <c r="C73" s="6" t="s">
        <v>81</v>
      </c>
      <c r="D73" s="8">
        <v>519255</v>
      </c>
      <c r="E73" s="10" t="s">
        <v>16</v>
      </c>
      <c r="F73" s="6" t="s">
        <v>8</v>
      </c>
      <c r="G73" s="33" t="s">
        <v>144</v>
      </c>
    </row>
    <row r="74" spans="1:7" hidden="1" x14ac:dyDescent="0.25">
      <c r="A74" s="15" t="s">
        <v>6</v>
      </c>
      <c r="B74" s="37">
        <v>45952</v>
      </c>
      <c r="C74" s="6" t="s">
        <v>79</v>
      </c>
      <c r="D74" s="8">
        <v>6926</v>
      </c>
      <c r="E74" s="10" t="s">
        <v>7</v>
      </c>
      <c r="F74" s="6" t="s">
        <v>8</v>
      </c>
      <c r="G74" s="33" t="s">
        <v>129</v>
      </c>
    </row>
    <row r="75" spans="1:7" hidden="1" x14ac:dyDescent="0.25">
      <c r="A75" s="15" t="s">
        <v>6</v>
      </c>
      <c r="B75" s="37">
        <v>45952</v>
      </c>
      <c r="C75" s="6" t="s">
        <v>79</v>
      </c>
      <c r="D75" s="8">
        <v>3080</v>
      </c>
      <c r="E75" s="10" t="s">
        <v>7</v>
      </c>
      <c r="F75" s="6" t="s">
        <v>8</v>
      </c>
      <c r="G75" s="33" t="s">
        <v>129</v>
      </c>
    </row>
    <row r="76" spans="1:7" hidden="1" x14ac:dyDescent="0.25">
      <c r="A76" s="15" t="s">
        <v>6</v>
      </c>
      <c r="B76" s="37">
        <v>45952</v>
      </c>
      <c r="C76" s="6" t="s">
        <v>81</v>
      </c>
      <c r="D76" s="8">
        <v>229528</v>
      </c>
      <c r="E76" s="10" t="s">
        <v>16</v>
      </c>
      <c r="F76" s="6" t="s">
        <v>8</v>
      </c>
      <c r="G76" s="33" t="s">
        <v>122</v>
      </c>
    </row>
    <row r="77" spans="1:7" hidden="1" x14ac:dyDescent="0.25">
      <c r="A77" s="15" t="s">
        <v>6</v>
      </c>
      <c r="B77" s="37">
        <v>45952</v>
      </c>
      <c r="C77" s="6" t="s">
        <v>92</v>
      </c>
      <c r="D77" s="8">
        <v>702726</v>
      </c>
      <c r="E77" s="10" t="s">
        <v>116</v>
      </c>
      <c r="F77" s="6" t="s">
        <v>8</v>
      </c>
      <c r="G77" s="33" t="s">
        <v>134</v>
      </c>
    </row>
    <row r="78" spans="1:7" hidden="1" x14ac:dyDescent="0.25">
      <c r="A78" s="15" t="s">
        <v>6</v>
      </c>
      <c r="B78" s="37">
        <v>45952</v>
      </c>
      <c r="C78" s="6" t="s">
        <v>92</v>
      </c>
      <c r="D78" s="8">
        <v>479334</v>
      </c>
      <c r="E78" s="10" t="s">
        <v>116</v>
      </c>
      <c r="F78" s="6" t="s">
        <v>8</v>
      </c>
      <c r="G78" s="33" t="s">
        <v>134</v>
      </c>
    </row>
    <row r="79" spans="1:7" hidden="1" x14ac:dyDescent="0.25">
      <c r="A79" s="15" t="s">
        <v>6</v>
      </c>
      <c r="B79" s="37">
        <v>45955</v>
      </c>
      <c r="C79" s="6" t="s">
        <v>86</v>
      </c>
      <c r="D79" s="8">
        <v>6608</v>
      </c>
      <c r="E79" s="10" t="s">
        <v>116</v>
      </c>
      <c r="F79" s="6" t="s">
        <v>8</v>
      </c>
      <c r="G79" s="33" t="s">
        <v>145</v>
      </c>
    </row>
    <row r="80" spans="1:7" hidden="1" x14ac:dyDescent="0.25">
      <c r="A80" s="15" t="s">
        <v>6</v>
      </c>
      <c r="B80" s="37">
        <v>45955</v>
      </c>
      <c r="C80" s="6" t="s">
        <v>86</v>
      </c>
      <c r="D80" s="8">
        <v>35164</v>
      </c>
      <c r="E80" s="10" t="s">
        <v>16</v>
      </c>
      <c r="F80" s="6" t="s">
        <v>8</v>
      </c>
      <c r="G80" s="33" t="s">
        <v>146</v>
      </c>
    </row>
    <row r="81" spans="1:7" hidden="1" x14ac:dyDescent="0.25">
      <c r="A81" s="15" t="s">
        <v>6</v>
      </c>
      <c r="B81" s="37">
        <v>45955</v>
      </c>
      <c r="C81" s="6" t="s">
        <v>14</v>
      </c>
      <c r="D81" s="8">
        <v>19876</v>
      </c>
      <c r="E81" s="10" t="s">
        <v>16</v>
      </c>
      <c r="F81" s="6" t="s">
        <v>10</v>
      </c>
      <c r="G81" s="33" t="s">
        <v>147</v>
      </c>
    </row>
    <row r="82" spans="1:7" hidden="1" x14ac:dyDescent="0.25">
      <c r="A82" s="15" t="s">
        <v>6</v>
      </c>
      <c r="B82" s="37">
        <v>45955</v>
      </c>
      <c r="C82" s="6" t="s">
        <v>14</v>
      </c>
      <c r="D82" s="8">
        <v>18376</v>
      </c>
      <c r="E82" s="10" t="s">
        <v>16</v>
      </c>
      <c r="F82" s="6" t="s">
        <v>10</v>
      </c>
      <c r="G82" s="33" t="s">
        <v>147</v>
      </c>
    </row>
    <row r="83" spans="1:7" hidden="1" x14ac:dyDescent="0.25">
      <c r="A83" s="15" t="s">
        <v>6</v>
      </c>
      <c r="B83" s="37">
        <v>45955</v>
      </c>
      <c r="C83" s="6" t="s">
        <v>14</v>
      </c>
      <c r="D83" s="8">
        <v>15000</v>
      </c>
      <c r="E83" s="10" t="s">
        <v>16</v>
      </c>
      <c r="F83" s="6" t="s">
        <v>10</v>
      </c>
      <c r="G83" s="33" t="s">
        <v>147</v>
      </c>
    </row>
    <row r="84" spans="1:7" hidden="1" x14ac:dyDescent="0.25">
      <c r="A84" s="15" t="s">
        <v>6</v>
      </c>
      <c r="B84" s="37">
        <v>45955</v>
      </c>
      <c r="C84" s="6" t="s">
        <v>79</v>
      </c>
      <c r="D84" s="8">
        <v>1600</v>
      </c>
      <c r="E84" s="10" t="s">
        <v>7</v>
      </c>
      <c r="F84" s="6" t="s">
        <v>8</v>
      </c>
      <c r="G84" s="33" t="s">
        <v>129</v>
      </c>
    </row>
    <row r="85" spans="1:7" hidden="1" x14ac:dyDescent="0.25">
      <c r="A85" s="15" t="s">
        <v>6</v>
      </c>
      <c r="B85" s="37">
        <v>45955</v>
      </c>
      <c r="C85" s="6" t="s">
        <v>100</v>
      </c>
      <c r="D85" s="8">
        <v>1399</v>
      </c>
      <c r="E85" s="10" t="s">
        <v>116</v>
      </c>
      <c r="F85" s="6" t="s">
        <v>13</v>
      </c>
      <c r="G85" s="33" t="s">
        <v>12</v>
      </c>
    </row>
    <row r="86" spans="1:7" hidden="1" x14ac:dyDescent="0.25">
      <c r="A86" s="15" t="s">
        <v>6</v>
      </c>
      <c r="B86" s="37">
        <v>45955</v>
      </c>
      <c r="C86" s="6" t="s">
        <v>101</v>
      </c>
      <c r="D86" s="8">
        <v>110802</v>
      </c>
      <c r="E86" s="10" t="s">
        <v>116</v>
      </c>
      <c r="F86" s="6" t="s">
        <v>13</v>
      </c>
      <c r="G86" s="33" t="s">
        <v>12</v>
      </c>
    </row>
    <row r="87" spans="1:7" hidden="1" x14ac:dyDescent="0.25">
      <c r="A87" s="15" t="s">
        <v>6</v>
      </c>
      <c r="B87" s="37">
        <v>45958</v>
      </c>
      <c r="C87" s="6" t="s">
        <v>102</v>
      </c>
      <c r="D87" s="8">
        <v>147618</v>
      </c>
      <c r="E87" s="31" t="s">
        <v>19</v>
      </c>
      <c r="F87" s="6" t="s">
        <v>37</v>
      </c>
      <c r="G87" s="33" t="s">
        <v>148</v>
      </c>
    </row>
    <row r="88" spans="1:7" hidden="1" x14ac:dyDescent="0.25">
      <c r="A88" s="15" t="s">
        <v>6</v>
      </c>
      <c r="B88" s="37">
        <v>45958</v>
      </c>
      <c r="C88" s="6" t="s">
        <v>35</v>
      </c>
      <c r="D88" s="8">
        <v>8084</v>
      </c>
      <c r="E88" s="10" t="s">
        <v>7</v>
      </c>
      <c r="F88" s="6" t="s">
        <v>37</v>
      </c>
      <c r="G88" s="33" t="s">
        <v>125</v>
      </c>
    </row>
    <row r="89" spans="1:7" hidden="1" x14ac:dyDescent="0.25">
      <c r="A89" s="15" t="s">
        <v>6</v>
      </c>
      <c r="B89" s="37">
        <v>45958</v>
      </c>
      <c r="C89" s="6" t="s">
        <v>82</v>
      </c>
      <c r="D89" s="8">
        <v>247450</v>
      </c>
      <c r="E89" s="10" t="s">
        <v>16</v>
      </c>
      <c r="F89" s="6" t="s">
        <v>8</v>
      </c>
      <c r="G89" s="33" t="s">
        <v>149</v>
      </c>
    </row>
    <row r="90" spans="1:7" hidden="1" x14ac:dyDescent="0.25">
      <c r="A90" s="15" t="s">
        <v>6</v>
      </c>
      <c r="B90" s="37">
        <v>45959</v>
      </c>
      <c r="C90" s="6" t="s">
        <v>103</v>
      </c>
      <c r="D90" s="8">
        <v>100000</v>
      </c>
      <c r="E90" s="10" t="s">
        <v>16</v>
      </c>
      <c r="F90" s="6" t="s">
        <v>117</v>
      </c>
      <c r="G90" s="33" t="s">
        <v>150</v>
      </c>
    </row>
    <row r="91" spans="1:7" hidden="1" x14ac:dyDescent="0.25">
      <c r="A91" s="15" t="s">
        <v>6</v>
      </c>
      <c r="B91" s="37">
        <v>45962</v>
      </c>
      <c r="C91" s="6" t="s">
        <v>81</v>
      </c>
      <c r="D91" s="8">
        <v>17110</v>
      </c>
      <c r="E91" s="10" t="s">
        <v>16</v>
      </c>
      <c r="F91" s="6" t="s">
        <v>8</v>
      </c>
      <c r="G91" s="33" t="s">
        <v>144</v>
      </c>
    </row>
    <row r="92" spans="1:7" hidden="1" x14ac:dyDescent="0.25">
      <c r="A92" s="15" t="s">
        <v>6</v>
      </c>
      <c r="B92" s="37">
        <v>45962</v>
      </c>
      <c r="C92" s="6" t="s">
        <v>9</v>
      </c>
      <c r="D92" s="8">
        <v>4275</v>
      </c>
      <c r="E92" s="10" t="s">
        <v>7</v>
      </c>
      <c r="F92" s="6" t="s">
        <v>10</v>
      </c>
      <c r="G92" s="33" t="s">
        <v>151</v>
      </c>
    </row>
    <row r="93" spans="1:7" hidden="1" x14ac:dyDescent="0.25">
      <c r="A93" s="15" t="s">
        <v>6</v>
      </c>
      <c r="B93" s="37">
        <v>45962</v>
      </c>
      <c r="C93" s="6" t="s">
        <v>11</v>
      </c>
      <c r="D93" s="8">
        <v>13045</v>
      </c>
      <c r="E93" s="10" t="s">
        <v>7</v>
      </c>
      <c r="F93" s="6" t="s">
        <v>13</v>
      </c>
      <c r="G93" s="33" t="s">
        <v>12</v>
      </c>
    </row>
    <row r="94" spans="1:7" hidden="1" x14ac:dyDescent="0.25">
      <c r="A94" s="15" t="s">
        <v>6</v>
      </c>
      <c r="B94" s="37">
        <v>45962</v>
      </c>
      <c r="C94" s="6" t="s">
        <v>14</v>
      </c>
      <c r="D94" s="8">
        <v>27030</v>
      </c>
      <c r="E94" s="10" t="s">
        <v>16</v>
      </c>
      <c r="F94" s="6" t="s">
        <v>10</v>
      </c>
      <c r="G94" s="33" t="s">
        <v>147</v>
      </c>
    </row>
    <row r="95" spans="1:7" hidden="1" x14ac:dyDescent="0.25">
      <c r="A95" s="15" t="s">
        <v>6</v>
      </c>
      <c r="B95" s="37">
        <v>45962</v>
      </c>
      <c r="C95" s="6" t="s">
        <v>14</v>
      </c>
      <c r="D95" s="8">
        <v>24990</v>
      </c>
      <c r="E95" s="10" t="s">
        <v>16</v>
      </c>
      <c r="F95" s="6" t="s">
        <v>10</v>
      </c>
      <c r="G95" s="33" t="s">
        <v>147</v>
      </c>
    </row>
    <row r="96" spans="1:7" hidden="1" x14ac:dyDescent="0.25">
      <c r="A96" s="15" t="s">
        <v>6</v>
      </c>
      <c r="B96" s="37">
        <v>45962</v>
      </c>
      <c r="C96" s="6" t="s">
        <v>14</v>
      </c>
      <c r="D96" s="8">
        <v>20400</v>
      </c>
      <c r="E96" s="10" t="s">
        <v>16</v>
      </c>
      <c r="F96" s="6" t="s">
        <v>10</v>
      </c>
      <c r="G96" s="33" t="s">
        <v>147</v>
      </c>
    </row>
    <row r="97" spans="1:7" hidden="1" x14ac:dyDescent="0.25">
      <c r="A97" s="15" t="s">
        <v>6</v>
      </c>
      <c r="B97" s="37">
        <v>45966</v>
      </c>
      <c r="C97" s="6" t="s">
        <v>17</v>
      </c>
      <c r="D97" s="8">
        <v>701702</v>
      </c>
      <c r="E97" s="31" t="s">
        <v>19</v>
      </c>
      <c r="F97" s="6" t="s">
        <v>10</v>
      </c>
      <c r="G97" s="33" t="s">
        <v>18</v>
      </c>
    </row>
    <row r="98" spans="1:7" hidden="1" x14ac:dyDescent="0.25">
      <c r="A98" s="15" t="s">
        <v>6</v>
      </c>
      <c r="B98" s="37">
        <v>45966</v>
      </c>
      <c r="C98" s="6" t="s">
        <v>17</v>
      </c>
      <c r="D98" s="8">
        <v>884026</v>
      </c>
      <c r="E98" s="31" t="s">
        <v>19</v>
      </c>
      <c r="F98" s="6" t="s">
        <v>10</v>
      </c>
      <c r="G98" s="33" t="s">
        <v>18</v>
      </c>
    </row>
    <row r="99" spans="1:7" hidden="1" x14ac:dyDescent="0.25">
      <c r="A99" s="15" t="s">
        <v>6</v>
      </c>
      <c r="B99" s="37">
        <v>45966</v>
      </c>
      <c r="C99" s="6" t="s">
        <v>17</v>
      </c>
      <c r="D99" s="8">
        <v>71043</v>
      </c>
      <c r="E99" s="31" t="s">
        <v>19</v>
      </c>
      <c r="F99" s="6" t="s">
        <v>10</v>
      </c>
      <c r="G99" s="33" t="s">
        <v>18</v>
      </c>
    </row>
    <row r="100" spans="1:7" hidden="1" x14ac:dyDescent="0.25">
      <c r="A100" s="15" t="s">
        <v>6</v>
      </c>
      <c r="B100" s="37">
        <v>45966</v>
      </c>
      <c r="C100" s="6" t="s">
        <v>17</v>
      </c>
      <c r="D100" s="8">
        <v>1030497</v>
      </c>
      <c r="E100" s="31" t="s">
        <v>19</v>
      </c>
      <c r="F100" s="6" t="s">
        <v>10</v>
      </c>
      <c r="G100" s="33" t="s">
        <v>18</v>
      </c>
    </row>
    <row r="101" spans="1:7" hidden="1" x14ac:dyDescent="0.25">
      <c r="A101" s="15" t="s">
        <v>6</v>
      </c>
      <c r="B101" s="37">
        <v>45966</v>
      </c>
      <c r="C101" s="6" t="s">
        <v>11</v>
      </c>
      <c r="D101" s="8">
        <v>29028</v>
      </c>
      <c r="E101" s="10" t="s">
        <v>7</v>
      </c>
      <c r="F101" s="6" t="s">
        <v>13</v>
      </c>
      <c r="G101" s="33" t="s">
        <v>12</v>
      </c>
    </row>
    <row r="102" spans="1:7" hidden="1" x14ac:dyDescent="0.25">
      <c r="A102" s="15" t="s">
        <v>6</v>
      </c>
      <c r="B102" s="37">
        <v>45966</v>
      </c>
      <c r="C102" s="6" t="s">
        <v>11</v>
      </c>
      <c r="D102" s="8">
        <v>49949</v>
      </c>
      <c r="E102" s="10" t="s">
        <v>7</v>
      </c>
      <c r="F102" s="6" t="s">
        <v>13</v>
      </c>
      <c r="G102" s="33" t="s">
        <v>12</v>
      </c>
    </row>
    <row r="103" spans="1:7" hidden="1" x14ac:dyDescent="0.25">
      <c r="A103" s="15" t="s">
        <v>6</v>
      </c>
      <c r="B103" s="37">
        <v>45966</v>
      </c>
      <c r="C103" s="6" t="s">
        <v>11</v>
      </c>
      <c r="D103" s="8">
        <v>13045</v>
      </c>
      <c r="E103" s="10" t="s">
        <v>7</v>
      </c>
      <c r="F103" s="6" t="s">
        <v>13</v>
      </c>
      <c r="G103" s="33" t="s">
        <v>12</v>
      </c>
    </row>
    <row r="104" spans="1:7" hidden="1" x14ac:dyDescent="0.25">
      <c r="A104" s="15" t="s">
        <v>6</v>
      </c>
      <c r="B104" s="37">
        <v>45966</v>
      </c>
      <c r="C104" s="6" t="s">
        <v>9</v>
      </c>
      <c r="D104" s="8">
        <v>10400</v>
      </c>
      <c r="E104" s="10" t="s">
        <v>7</v>
      </c>
      <c r="F104" s="6" t="s">
        <v>10</v>
      </c>
      <c r="G104" s="33" t="s">
        <v>151</v>
      </c>
    </row>
    <row r="105" spans="1:7" hidden="1" x14ac:dyDescent="0.25">
      <c r="A105" s="15" t="s">
        <v>6</v>
      </c>
      <c r="B105" s="37">
        <v>45966</v>
      </c>
      <c r="C105" s="6" t="s">
        <v>20</v>
      </c>
      <c r="D105" s="8">
        <v>129800</v>
      </c>
      <c r="E105" s="31" t="s">
        <v>19</v>
      </c>
      <c r="F105" s="6" t="s">
        <v>22</v>
      </c>
      <c r="G105" s="33" t="s">
        <v>21</v>
      </c>
    </row>
    <row r="106" spans="1:7" hidden="1" x14ac:dyDescent="0.25">
      <c r="A106" s="15" t="s">
        <v>6</v>
      </c>
      <c r="B106" s="37">
        <v>45966</v>
      </c>
      <c r="C106" s="6" t="s">
        <v>23</v>
      </c>
      <c r="D106" s="8">
        <v>164093</v>
      </c>
      <c r="E106" s="10" t="s">
        <v>7</v>
      </c>
      <c r="F106" s="6" t="s">
        <v>13</v>
      </c>
      <c r="G106" s="33" t="s">
        <v>152</v>
      </c>
    </row>
    <row r="107" spans="1:7" hidden="1" x14ac:dyDescent="0.25">
      <c r="A107" s="15" t="s">
        <v>6</v>
      </c>
      <c r="B107" s="37">
        <v>45966</v>
      </c>
      <c r="C107" s="6" t="s">
        <v>24</v>
      </c>
      <c r="D107" s="8">
        <v>326515</v>
      </c>
      <c r="E107" s="10" t="s">
        <v>16</v>
      </c>
      <c r="F107" s="6" t="s">
        <v>10</v>
      </c>
      <c r="G107" s="33" t="s">
        <v>153</v>
      </c>
    </row>
    <row r="108" spans="1:7" hidden="1" x14ac:dyDescent="0.25">
      <c r="A108" s="15" t="s">
        <v>6</v>
      </c>
      <c r="B108" s="37">
        <v>45966</v>
      </c>
      <c r="C108" s="6" t="s">
        <v>26</v>
      </c>
      <c r="D108" s="8">
        <v>37170</v>
      </c>
      <c r="E108" s="10" t="s">
        <v>7</v>
      </c>
      <c r="F108" s="6" t="s">
        <v>13</v>
      </c>
      <c r="G108" s="33" t="s">
        <v>12</v>
      </c>
    </row>
    <row r="109" spans="1:7" hidden="1" x14ac:dyDescent="0.25">
      <c r="A109" s="15" t="s">
        <v>6</v>
      </c>
      <c r="B109" s="37">
        <v>45968</v>
      </c>
      <c r="C109" s="6" t="s">
        <v>9</v>
      </c>
      <c r="D109" s="8">
        <v>3200</v>
      </c>
      <c r="E109" s="10" t="str">
        <f>E93</f>
        <v>Ad-Hoc</v>
      </c>
      <c r="F109" s="6" t="s">
        <v>10</v>
      </c>
      <c r="G109" s="33" t="s">
        <v>151</v>
      </c>
    </row>
    <row r="110" spans="1:7" hidden="1" x14ac:dyDescent="0.25">
      <c r="A110" s="15" t="s">
        <v>6</v>
      </c>
      <c r="B110" s="37">
        <v>45968</v>
      </c>
      <c r="C110" s="6" t="s">
        <v>27</v>
      </c>
      <c r="D110" s="8">
        <v>24780</v>
      </c>
      <c r="E110" s="31" t="s">
        <v>19</v>
      </c>
      <c r="F110" s="6" t="s">
        <v>117</v>
      </c>
      <c r="G110" s="33" t="s">
        <v>28</v>
      </c>
    </row>
    <row r="111" spans="1:7" hidden="1" x14ac:dyDescent="0.25">
      <c r="A111" s="15" t="s">
        <v>6</v>
      </c>
      <c r="B111" s="37">
        <v>45968</v>
      </c>
      <c r="C111" s="6" t="s">
        <v>79</v>
      </c>
      <c r="D111" s="8">
        <v>800</v>
      </c>
      <c r="E111" s="10" t="s">
        <v>7</v>
      </c>
      <c r="F111" s="6" t="s">
        <v>8</v>
      </c>
      <c r="G111" s="33" t="s">
        <v>129</v>
      </c>
    </row>
    <row r="112" spans="1:7" hidden="1" x14ac:dyDescent="0.25">
      <c r="A112" s="15" t="s">
        <v>6</v>
      </c>
      <c r="B112" s="37">
        <v>45968</v>
      </c>
      <c r="C112" s="6" t="s">
        <v>9</v>
      </c>
      <c r="D112" s="8">
        <v>6080</v>
      </c>
      <c r="E112" s="10" t="s">
        <v>7</v>
      </c>
      <c r="F112" s="6" t="s">
        <v>10</v>
      </c>
      <c r="G112" s="33" t="s">
        <v>151</v>
      </c>
    </row>
    <row r="113" spans="1:7" hidden="1" x14ac:dyDescent="0.25">
      <c r="A113" s="15" t="s">
        <v>6</v>
      </c>
      <c r="B113" s="37">
        <v>45968</v>
      </c>
      <c r="C113" s="6" t="s">
        <v>79</v>
      </c>
      <c r="D113" s="8">
        <v>760</v>
      </c>
      <c r="E113" s="10" t="s">
        <v>7</v>
      </c>
      <c r="F113" s="6" t="s">
        <v>8</v>
      </c>
      <c r="G113" s="33" t="s">
        <v>129</v>
      </c>
    </row>
    <row r="114" spans="1:7" hidden="1" x14ac:dyDescent="0.25">
      <c r="A114" s="15" t="s">
        <v>6</v>
      </c>
      <c r="B114" s="37">
        <v>45968</v>
      </c>
      <c r="C114" s="6" t="s">
        <v>98</v>
      </c>
      <c r="D114" s="8">
        <v>20727</v>
      </c>
      <c r="E114" s="31" t="s">
        <v>19</v>
      </c>
      <c r="F114" s="6" t="s">
        <v>8</v>
      </c>
      <c r="G114" s="33" t="s">
        <v>30</v>
      </c>
    </row>
    <row r="115" spans="1:7" hidden="1" x14ac:dyDescent="0.25">
      <c r="A115" s="15" t="s">
        <v>6</v>
      </c>
      <c r="B115" s="37">
        <v>45968</v>
      </c>
      <c r="C115" s="6" t="s">
        <v>79</v>
      </c>
      <c r="D115" s="8">
        <v>1350</v>
      </c>
      <c r="E115" s="10" t="s">
        <v>7</v>
      </c>
      <c r="F115" s="6" t="s">
        <v>8</v>
      </c>
      <c r="G115" s="33" t="s">
        <v>129</v>
      </c>
    </row>
    <row r="116" spans="1:7" hidden="1" x14ac:dyDescent="0.25">
      <c r="A116" s="15" t="s">
        <v>6</v>
      </c>
      <c r="B116" s="37">
        <v>45968</v>
      </c>
      <c r="C116" s="6" t="s">
        <v>31</v>
      </c>
      <c r="D116" s="8">
        <v>121422</v>
      </c>
      <c r="E116" s="10" t="s">
        <v>7</v>
      </c>
      <c r="F116" s="6" t="s">
        <v>8</v>
      </c>
      <c r="G116" s="33" t="s">
        <v>32</v>
      </c>
    </row>
    <row r="117" spans="1:7" hidden="1" x14ac:dyDescent="0.25">
      <c r="A117" s="15" t="s">
        <v>6</v>
      </c>
      <c r="B117" s="37">
        <v>45969</v>
      </c>
      <c r="C117" s="6" t="s">
        <v>33</v>
      </c>
      <c r="D117" s="8">
        <v>29000</v>
      </c>
      <c r="E117" s="10" t="s">
        <v>7</v>
      </c>
      <c r="F117" s="6" t="s">
        <v>117</v>
      </c>
      <c r="G117" s="33" t="s">
        <v>34</v>
      </c>
    </row>
    <row r="118" spans="1:7" hidden="1" x14ac:dyDescent="0.25">
      <c r="A118" s="15" t="s">
        <v>6</v>
      </c>
      <c r="B118" s="37">
        <v>45969</v>
      </c>
      <c r="C118" s="6" t="s">
        <v>35</v>
      </c>
      <c r="D118" s="8">
        <v>8850</v>
      </c>
      <c r="E118" s="31" t="s">
        <v>19</v>
      </c>
      <c r="F118" s="6" t="s">
        <v>37</v>
      </c>
      <c r="G118" s="33" t="s">
        <v>36</v>
      </c>
    </row>
    <row r="119" spans="1:7" hidden="1" x14ac:dyDescent="0.25">
      <c r="A119" s="15" t="s">
        <v>6</v>
      </c>
      <c r="B119" s="37">
        <v>45969</v>
      </c>
      <c r="C119" s="6" t="s">
        <v>9</v>
      </c>
      <c r="D119" s="8">
        <v>2010</v>
      </c>
      <c r="E119" s="10" t="s">
        <v>7</v>
      </c>
      <c r="F119" s="6" t="s">
        <v>10</v>
      </c>
      <c r="G119" s="33" t="s">
        <v>38</v>
      </c>
    </row>
    <row r="120" spans="1:7" hidden="1" x14ac:dyDescent="0.25">
      <c r="A120" s="15" t="s">
        <v>6</v>
      </c>
      <c r="B120" s="37">
        <v>45969</v>
      </c>
      <c r="C120" s="6" t="s">
        <v>9</v>
      </c>
      <c r="D120" s="8">
        <v>15300</v>
      </c>
      <c r="E120" s="10" t="s">
        <v>7</v>
      </c>
      <c r="F120" s="6" t="s">
        <v>10</v>
      </c>
      <c r="G120" s="33" t="s">
        <v>38</v>
      </c>
    </row>
    <row r="121" spans="1:7" hidden="1" x14ac:dyDescent="0.25">
      <c r="A121" s="15" t="s">
        <v>6</v>
      </c>
      <c r="B121" s="37">
        <v>45969</v>
      </c>
      <c r="C121" s="6" t="s">
        <v>81</v>
      </c>
      <c r="D121" s="8">
        <v>88740</v>
      </c>
      <c r="E121" s="10" t="s">
        <v>16</v>
      </c>
      <c r="F121" s="6" t="s">
        <v>8</v>
      </c>
      <c r="G121" s="33" t="s">
        <v>154</v>
      </c>
    </row>
    <row r="122" spans="1:7" hidden="1" x14ac:dyDescent="0.25">
      <c r="A122" s="15" t="s">
        <v>6</v>
      </c>
      <c r="B122" s="37">
        <v>45941</v>
      </c>
      <c r="C122" s="6" t="s">
        <v>39</v>
      </c>
      <c r="D122" s="8">
        <v>41550</v>
      </c>
      <c r="E122" s="10" t="s">
        <v>7</v>
      </c>
      <c r="F122" s="6" t="s">
        <v>41</v>
      </c>
      <c r="G122" s="33" t="s">
        <v>40</v>
      </c>
    </row>
    <row r="123" spans="1:7" hidden="1" x14ac:dyDescent="0.25">
      <c r="A123" s="15" t="s">
        <v>6</v>
      </c>
      <c r="B123" s="37">
        <v>45941</v>
      </c>
      <c r="C123" s="6" t="s">
        <v>42</v>
      </c>
      <c r="D123" s="8">
        <v>1942138</v>
      </c>
      <c r="E123" s="31" t="s">
        <v>19</v>
      </c>
      <c r="F123" s="6" t="s">
        <v>37</v>
      </c>
      <c r="G123" s="33" t="s">
        <v>43</v>
      </c>
    </row>
    <row r="124" spans="1:7" hidden="1" x14ac:dyDescent="0.25">
      <c r="A124" s="15" t="s">
        <v>6</v>
      </c>
      <c r="B124" s="37">
        <v>45969</v>
      </c>
      <c r="C124" s="6" t="s">
        <v>42</v>
      </c>
      <c r="D124" s="8">
        <v>53122</v>
      </c>
      <c r="E124" s="31" t="s">
        <v>19</v>
      </c>
      <c r="F124" s="6" t="s">
        <v>37</v>
      </c>
      <c r="G124" s="33" t="s">
        <v>43</v>
      </c>
    </row>
    <row r="125" spans="1:7" hidden="1" x14ac:dyDescent="0.25">
      <c r="A125" s="15" t="s">
        <v>6</v>
      </c>
      <c r="B125" s="37">
        <v>45970</v>
      </c>
      <c r="C125" s="6" t="s">
        <v>42</v>
      </c>
      <c r="D125" s="8">
        <v>190739</v>
      </c>
      <c r="E125" s="31" t="s">
        <v>19</v>
      </c>
      <c r="F125" s="6" t="s">
        <v>37</v>
      </c>
      <c r="G125" s="33" t="s">
        <v>43</v>
      </c>
    </row>
    <row r="126" spans="1:7" x14ac:dyDescent="0.25">
      <c r="A126" s="15" t="s">
        <v>6</v>
      </c>
      <c r="B126" s="37">
        <v>45941</v>
      </c>
      <c r="C126" s="6" t="s">
        <v>44</v>
      </c>
      <c r="D126" s="8">
        <v>5900</v>
      </c>
      <c r="E126" s="10" t="s">
        <v>7</v>
      </c>
      <c r="F126" s="6" t="s">
        <v>46</v>
      </c>
      <c r="G126" s="33" t="s">
        <v>45</v>
      </c>
    </row>
    <row r="127" spans="1:7" hidden="1" x14ac:dyDescent="0.25">
      <c r="A127" s="15" t="s">
        <v>6</v>
      </c>
      <c r="B127" s="37">
        <v>45941</v>
      </c>
      <c r="C127" s="6" t="s">
        <v>89</v>
      </c>
      <c r="D127" s="8">
        <v>28004</v>
      </c>
      <c r="E127" s="10" t="s">
        <v>16</v>
      </c>
      <c r="F127" s="6" t="s">
        <v>10</v>
      </c>
      <c r="G127" s="33" t="s">
        <v>47</v>
      </c>
    </row>
    <row r="128" spans="1:7" hidden="1" x14ac:dyDescent="0.25">
      <c r="A128" s="15" t="s">
        <v>6</v>
      </c>
      <c r="B128" s="37">
        <v>45941</v>
      </c>
      <c r="C128" s="6" t="s">
        <v>89</v>
      </c>
      <c r="D128" s="8">
        <v>28004</v>
      </c>
      <c r="E128" s="10" t="s">
        <v>16</v>
      </c>
      <c r="F128" s="6" t="s">
        <v>10</v>
      </c>
      <c r="G128" s="33" t="s">
        <v>47</v>
      </c>
    </row>
    <row r="129" spans="1:7" hidden="1" x14ac:dyDescent="0.25">
      <c r="A129" s="15" t="s">
        <v>6</v>
      </c>
      <c r="B129" s="37">
        <v>45973</v>
      </c>
      <c r="C129" s="6" t="s">
        <v>48</v>
      </c>
      <c r="D129" s="8">
        <v>195</v>
      </c>
      <c r="E129" s="10" t="s">
        <v>7</v>
      </c>
      <c r="F129" s="6" t="s">
        <v>10</v>
      </c>
      <c r="G129" s="33" t="s">
        <v>38</v>
      </c>
    </row>
    <row r="130" spans="1:7" hidden="1" x14ac:dyDescent="0.25">
      <c r="A130" s="15" t="s">
        <v>6</v>
      </c>
      <c r="B130" s="37">
        <v>45973</v>
      </c>
      <c r="C130" s="6" t="s">
        <v>48</v>
      </c>
      <c r="D130" s="8">
        <v>2537</v>
      </c>
      <c r="E130" s="10" t="s">
        <v>7</v>
      </c>
      <c r="F130" s="6" t="s">
        <v>10</v>
      </c>
      <c r="G130" s="33" t="s">
        <v>38</v>
      </c>
    </row>
    <row r="131" spans="1:7" hidden="1" x14ac:dyDescent="0.25">
      <c r="A131" s="15" t="s">
        <v>6</v>
      </c>
      <c r="B131" s="37">
        <v>45973</v>
      </c>
      <c r="C131" s="6" t="s">
        <v>39</v>
      </c>
      <c r="D131" s="8">
        <v>12000</v>
      </c>
      <c r="E131" s="10" t="s">
        <v>7</v>
      </c>
      <c r="F131" s="6" t="s">
        <v>41</v>
      </c>
      <c r="G131" s="33" t="s">
        <v>40</v>
      </c>
    </row>
    <row r="132" spans="1:7" hidden="1" x14ac:dyDescent="0.25">
      <c r="A132" s="15" t="s">
        <v>6</v>
      </c>
      <c r="B132" s="37">
        <v>45973</v>
      </c>
      <c r="C132" s="6" t="s">
        <v>49</v>
      </c>
      <c r="D132" s="8">
        <v>14000</v>
      </c>
      <c r="E132" s="10" t="s">
        <v>116</v>
      </c>
      <c r="F132" s="6" t="s">
        <v>10</v>
      </c>
      <c r="G132" s="33" t="s">
        <v>50</v>
      </c>
    </row>
    <row r="133" spans="1:7" hidden="1" x14ac:dyDescent="0.25">
      <c r="A133" s="15" t="s">
        <v>6</v>
      </c>
      <c r="B133" s="37">
        <v>45973</v>
      </c>
      <c r="C133" s="6" t="s">
        <v>51</v>
      </c>
      <c r="D133" s="8">
        <v>4130</v>
      </c>
      <c r="E133" s="10" t="s">
        <v>7</v>
      </c>
      <c r="F133" s="6" t="s">
        <v>10</v>
      </c>
      <c r="G133" s="33" t="s">
        <v>38</v>
      </c>
    </row>
    <row r="134" spans="1:7" hidden="1" x14ac:dyDescent="0.25">
      <c r="A134" s="15" t="s">
        <v>6</v>
      </c>
      <c r="B134" s="37">
        <v>45973</v>
      </c>
      <c r="C134" s="6" t="s">
        <v>79</v>
      </c>
      <c r="D134" s="8">
        <v>690</v>
      </c>
      <c r="E134" s="10" t="s">
        <v>7</v>
      </c>
      <c r="F134" s="6" t="s">
        <v>13</v>
      </c>
      <c r="G134" s="33" t="s">
        <v>12</v>
      </c>
    </row>
    <row r="135" spans="1:7" hidden="1" x14ac:dyDescent="0.25">
      <c r="A135" s="15" t="s">
        <v>6</v>
      </c>
      <c r="B135" s="37">
        <v>45980</v>
      </c>
      <c r="C135" s="6" t="s">
        <v>52</v>
      </c>
      <c r="D135" s="8">
        <v>12644</v>
      </c>
      <c r="E135" s="10" t="s">
        <v>116</v>
      </c>
      <c r="F135" s="6" t="s">
        <v>13</v>
      </c>
      <c r="G135" s="33" t="s">
        <v>12</v>
      </c>
    </row>
    <row r="136" spans="1:7" hidden="1" x14ac:dyDescent="0.25">
      <c r="A136" s="15" t="s">
        <v>6</v>
      </c>
      <c r="B136" s="37">
        <v>45973</v>
      </c>
      <c r="C136" s="6" t="s">
        <v>48</v>
      </c>
      <c r="D136" s="8">
        <v>3443</v>
      </c>
      <c r="E136" s="10" t="s">
        <v>116</v>
      </c>
      <c r="F136" s="6" t="s">
        <v>10</v>
      </c>
      <c r="G136" s="33" t="s">
        <v>38</v>
      </c>
    </row>
    <row r="137" spans="1:7" hidden="1" x14ac:dyDescent="0.25">
      <c r="A137" s="15" t="s">
        <v>6</v>
      </c>
      <c r="B137" s="37">
        <v>45973</v>
      </c>
      <c r="C137" s="6" t="s">
        <v>53</v>
      </c>
      <c r="D137" s="8">
        <v>18556</v>
      </c>
      <c r="E137" s="10" t="s">
        <v>16</v>
      </c>
      <c r="F137" s="6" t="s">
        <v>10</v>
      </c>
      <c r="G137" s="33" t="s">
        <v>54</v>
      </c>
    </row>
    <row r="138" spans="1:7" hidden="1" x14ac:dyDescent="0.25">
      <c r="A138" s="15" t="s">
        <v>6</v>
      </c>
      <c r="B138" s="37">
        <v>45973</v>
      </c>
      <c r="C138" s="6" t="s">
        <v>94</v>
      </c>
      <c r="D138" s="8">
        <v>428822</v>
      </c>
      <c r="E138" s="31" t="s">
        <v>19</v>
      </c>
      <c r="F138" s="6" t="s">
        <v>8</v>
      </c>
      <c r="G138" s="33" t="s">
        <v>55</v>
      </c>
    </row>
    <row r="139" spans="1:7" hidden="1" x14ac:dyDescent="0.25">
      <c r="A139" s="15" t="s">
        <v>6</v>
      </c>
      <c r="B139" s="37">
        <v>45973</v>
      </c>
      <c r="C139" s="6" t="s">
        <v>9</v>
      </c>
      <c r="D139" s="8">
        <v>15390</v>
      </c>
      <c r="E139" s="10" t="s">
        <v>7</v>
      </c>
      <c r="F139" s="6" t="s">
        <v>8</v>
      </c>
      <c r="G139" s="33" t="s">
        <v>29</v>
      </c>
    </row>
    <row r="140" spans="1:7" hidden="1" x14ac:dyDescent="0.25">
      <c r="A140" s="15" t="s">
        <v>6</v>
      </c>
      <c r="B140" s="37">
        <v>45973</v>
      </c>
      <c r="C140" s="6" t="s">
        <v>14</v>
      </c>
      <c r="D140" s="8">
        <v>27423</v>
      </c>
      <c r="E140" s="10" t="s">
        <v>116</v>
      </c>
      <c r="F140" s="6" t="s">
        <v>117</v>
      </c>
      <c r="G140" s="33" t="s">
        <v>155</v>
      </c>
    </row>
    <row r="141" spans="1:7" hidden="1" x14ac:dyDescent="0.25">
      <c r="A141" s="15" t="s">
        <v>6</v>
      </c>
      <c r="B141" s="37">
        <v>45980</v>
      </c>
      <c r="C141" s="6" t="s">
        <v>56</v>
      </c>
      <c r="D141" s="8">
        <v>10597</v>
      </c>
      <c r="E141" s="31" t="s">
        <v>19</v>
      </c>
      <c r="F141" s="6" t="s">
        <v>8</v>
      </c>
      <c r="G141" s="33" t="s">
        <v>142</v>
      </c>
    </row>
    <row r="142" spans="1:7" hidden="1" x14ac:dyDescent="0.25">
      <c r="A142" s="15" t="s">
        <v>6</v>
      </c>
      <c r="B142" s="37">
        <v>45981</v>
      </c>
      <c r="C142" s="6" t="s">
        <v>58</v>
      </c>
      <c r="D142" s="8">
        <v>550797</v>
      </c>
      <c r="E142" s="31" t="s">
        <v>19</v>
      </c>
      <c r="F142" s="6" t="s">
        <v>41</v>
      </c>
      <c r="G142" s="33" t="s">
        <v>59</v>
      </c>
    </row>
    <row r="143" spans="1:7" hidden="1" x14ac:dyDescent="0.25">
      <c r="A143" s="15" t="s">
        <v>6</v>
      </c>
      <c r="B143" s="37">
        <v>45976</v>
      </c>
      <c r="C143" s="6" t="s">
        <v>60</v>
      </c>
      <c r="D143" s="8">
        <v>37000</v>
      </c>
      <c r="E143" s="10" t="s">
        <v>16</v>
      </c>
      <c r="F143" s="6" t="s">
        <v>117</v>
      </c>
      <c r="G143" s="33" t="s">
        <v>156</v>
      </c>
    </row>
    <row r="144" spans="1:7" hidden="1" x14ac:dyDescent="0.25">
      <c r="A144" s="15" t="s">
        <v>6</v>
      </c>
      <c r="B144" s="37">
        <v>45976</v>
      </c>
      <c r="C144" s="6" t="s">
        <v>58</v>
      </c>
      <c r="D144" s="8">
        <v>548390</v>
      </c>
      <c r="E144" s="31" t="s">
        <v>19</v>
      </c>
      <c r="F144" s="6" t="s">
        <v>41</v>
      </c>
      <c r="G144" s="33" t="s">
        <v>59</v>
      </c>
    </row>
    <row r="145" spans="1:7" hidden="1" x14ac:dyDescent="0.25">
      <c r="A145" s="15" t="s">
        <v>6</v>
      </c>
      <c r="B145" s="37">
        <v>45981</v>
      </c>
      <c r="C145" s="6" t="s">
        <v>97</v>
      </c>
      <c r="D145" s="8">
        <v>77992.2</v>
      </c>
      <c r="E145" s="31" t="s">
        <v>19</v>
      </c>
      <c r="F145" s="6" t="s">
        <v>46</v>
      </c>
      <c r="G145" s="33" t="s">
        <v>170</v>
      </c>
    </row>
    <row r="146" spans="1:7" hidden="1" x14ac:dyDescent="0.25">
      <c r="A146" s="15" t="s">
        <v>6</v>
      </c>
      <c r="B146" s="37">
        <v>45981</v>
      </c>
      <c r="C146" s="6" t="s">
        <v>97</v>
      </c>
      <c r="D146" s="8">
        <v>58916.33</v>
      </c>
      <c r="E146" s="31" t="s">
        <v>19</v>
      </c>
      <c r="F146" s="6" t="s">
        <v>46</v>
      </c>
      <c r="G146" s="33" t="s">
        <v>170</v>
      </c>
    </row>
    <row r="147" spans="1:7" hidden="1" x14ac:dyDescent="0.25">
      <c r="A147" s="15" t="s">
        <v>6</v>
      </c>
      <c r="B147" s="37">
        <v>45981</v>
      </c>
      <c r="C147" s="6" t="s">
        <v>97</v>
      </c>
      <c r="D147" s="8">
        <v>38266.879999999997</v>
      </c>
      <c r="E147" s="31" t="s">
        <v>19</v>
      </c>
      <c r="F147" s="6" t="s">
        <v>46</v>
      </c>
      <c r="G147" s="33" t="s">
        <v>170</v>
      </c>
    </row>
    <row r="148" spans="1:7" hidden="1" x14ac:dyDescent="0.25">
      <c r="A148" s="15" t="s">
        <v>6</v>
      </c>
      <c r="B148" s="37">
        <v>45981</v>
      </c>
      <c r="C148" s="6" t="s">
        <v>97</v>
      </c>
      <c r="D148" s="8">
        <v>53812.800000000003</v>
      </c>
      <c r="E148" s="31" t="s">
        <v>19</v>
      </c>
      <c r="F148" s="6" t="s">
        <v>46</v>
      </c>
      <c r="G148" s="33" t="s">
        <v>170</v>
      </c>
    </row>
    <row r="149" spans="1:7" hidden="1" x14ac:dyDescent="0.25">
      <c r="A149" s="15" t="s">
        <v>6</v>
      </c>
      <c r="B149" s="37">
        <v>45981</v>
      </c>
      <c r="C149" s="6" t="s">
        <v>97</v>
      </c>
      <c r="D149" s="8">
        <v>32124.06</v>
      </c>
      <c r="E149" s="31" t="s">
        <v>19</v>
      </c>
      <c r="F149" s="6" t="s">
        <v>46</v>
      </c>
      <c r="G149" s="33" t="s">
        <v>170</v>
      </c>
    </row>
    <row r="150" spans="1:7" hidden="1" x14ac:dyDescent="0.25">
      <c r="A150" s="15" t="s">
        <v>6</v>
      </c>
      <c r="B150" s="37">
        <v>45981</v>
      </c>
      <c r="C150" s="6" t="s">
        <v>97</v>
      </c>
      <c r="D150" s="8">
        <v>193023.12</v>
      </c>
      <c r="E150" s="31" t="s">
        <v>19</v>
      </c>
      <c r="F150" s="6" t="s">
        <v>13</v>
      </c>
      <c r="G150" s="33" t="s">
        <v>171</v>
      </c>
    </row>
    <row r="151" spans="1:7" hidden="1" x14ac:dyDescent="0.25">
      <c r="A151" s="15" t="s">
        <v>6</v>
      </c>
      <c r="B151" s="37">
        <v>45981</v>
      </c>
      <c r="C151" s="6" t="s">
        <v>97</v>
      </c>
      <c r="D151" s="8">
        <v>213383.71</v>
      </c>
      <c r="E151" s="31" t="s">
        <v>19</v>
      </c>
      <c r="F151" s="6" t="s">
        <v>8</v>
      </c>
      <c r="G151" s="33" t="s">
        <v>172</v>
      </c>
    </row>
    <row r="152" spans="1:7" hidden="1" x14ac:dyDescent="0.25">
      <c r="A152" s="15" t="s">
        <v>6</v>
      </c>
      <c r="B152" s="37">
        <v>45981</v>
      </c>
      <c r="C152" s="6" t="s">
        <v>97</v>
      </c>
      <c r="D152" s="8">
        <v>26361</v>
      </c>
      <c r="E152" s="31" t="s">
        <v>19</v>
      </c>
      <c r="F152" s="6" t="s">
        <v>10</v>
      </c>
      <c r="G152" s="33" t="s">
        <v>173</v>
      </c>
    </row>
    <row r="153" spans="1:7" hidden="1" x14ac:dyDescent="0.25">
      <c r="A153" s="15" t="s">
        <v>6</v>
      </c>
      <c r="B153" s="37">
        <v>45981</v>
      </c>
      <c r="C153" s="6" t="s">
        <v>97</v>
      </c>
      <c r="D153" s="8">
        <v>30047.5</v>
      </c>
      <c r="E153" s="31" t="s">
        <v>19</v>
      </c>
      <c r="F153" s="6" t="s">
        <v>10</v>
      </c>
      <c r="G153" s="33" t="s">
        <v>173</v>
      </c>
    </row>
    <row r="154" spans="1:7" hidden="1" x14ac:dyDescent="0.25">
      <c r="A154" s="15" t="s">
        <v>6</v>
      </c>
      <c r="B154" s="37">
        <v>45981</v>
      </c>
      <c r="C154" s="6" t="s">
        <v>97</v>
      </c>
      <c r="D154" s="8">
        <v>46460</v>
      </c>
      <c r="E154" s="31" t="s">
        <v>19</v>
      </c>
      <c r="F154" s="6" t="s">
        <v>10</v>
      </c>
      <c r="G154" s="33" t="s">
        <v>173</v>
      </c>
    </row>
    <row r="155" spans="1:7" hidden="1" x14ac:dyDescent="0.25">
      <c r="A155" s="15" t="s">
        <v>6</v>
      </c>
      <c r="B155" s="37">
        <v>45981</v>
      </c>
      <c r="C155" s="6" t="s">
        <v>97</v>
      </c>
      <c r="D155" s="8">
        <v>26933.67</v>
      </c>
      <c r="E155" s="31" t="s">
        <v>19</v>
      </c>
      <c r="F155" s="6" t="s">
        <v>22</v>
      </c>
      <c r="G155" s="33" t="s">
        <v>174</v>
      </c>
    </row>
    <row r="156" spans="1:7" hidden="1" x14ac:dyDescent="0.25">
      <c r="A156" s="15" t="s">
        <v>6</v>
      </c>
      <c r="B156" s="37">
        <v>45981</v>
      </c>
      <c r="C156" s="6" t="s">
        <v>97</v>
      </c>
      <c r="D156" s="8">
        <v>647998.82999999996</v>
      </c>
      <c r="E156" s="31" t="s">
        <v>19</v>
      </c>
      <c r="F156" s="6" t="s">
        <v>22</v>
      </c>
      <c r="G156" s="33" t="s">
        <v>174</v>
      </c>
    </row>
    <row r="157" spans="1:7" hidden="1" x14ac:dyDescent="0.25">
      <c r="A157" s="15" t="s">
        <v>6</v>
      </c>
      <c r="B157" s="37">
        <v>45981</v>
      </c>
      <c r="C157" s="6" t="s">
        <v>97</v>
      </c>
      <c r="D157" s="8">
        <v>20200</v>
      </c>
      <c r="E157" s="31" t="s">
        <v>19</v>
      </c>
      <c r="F157" s="6" t="s">
        <v>117</v>
      </c>
      <c r="G157" s="33" t="s">
        <v>175</v>
      </c>
    </row>
    <row r="158" spans="1:7" hidden="1" x14ac:dyDescent="0.25">
      <c r="A158" s="15" t="s">
        <v>6</v>
      </c>
      <c r="B158" s="37">
        <v>45981</v>
      </c>
      <c r="C158" s="6" t="s">
        <v>97</v>
      </c>
      <c r="D158" s="8">
        <v>19190</v>
      </c>
      <c r="E158" s="31" t="s">
        <v>19</v>
      </c>
      <c r="F158" s="6" t="s">
        <v>22</v>
      </c>
      <c r="G158" s="33" t="s">
        <v>174</v>
      </c>
    </row>
    <row r="159" spans="1:7" hidden="1" x14ac:dyDescent="0.25">
      <c r="A159" s="15" t="s">
        <v>6</v>
      </c>
      <c r="B159" s="37">
        <v>45981</v>
      </c>
      <c r="C159" s="6" t="s">
        <v>97</v>
      </c>
      <c r="D159" s="8">
        <v>37087.199999999997</v>
      </c>
      <c r="E159" s="31" t="s">
        <v>19</v>
      </c>
      <c r="F159" s="6" t="s">
        <v>46</v>
      </c>
      <c r="G159" s="33" t="s">
        <v>170</v>
      </c>
    </row>
    <row r="160" spans="1:7" hidden="1" x14ac:dyDescent="0.25">
      <c r="A160" s="15" t="s">
        <v>6</v>
      </c>
      <c r="B160" s="37">
        <v>45981</v>
      </c>
      <c r="C160" s="6" t="s">
        <v>97</v>
      </c>
      <c r="D160" s="8">
        <v>80800</v>
      </c>
      <c r="E160" s="31" t="s">
        <v>19</v>
      </c>
      <c r="F160" s="6" t="s">
        <v>46</v>
      </c>
      <c r="G160" s="33" t="s">
        <v>170</v>
      </c>
    </row>
    <row r="161" spans="1:7" hidden="1" x14ac:dyDescent="0.25">
      <c r="A161" s="15" t="s">
        <v>6</v>
      </c>
      <c r="B161" s="37">
        <v>45981</v>
      </c>
      <c r="C161" s="6" t="s">
        <v>63</v>
      </c>
      <c r="D161" s="8">
        <v>106068</v>
      </c>
      <c r="E161" s="31" t="s">
        <v>19</v>
      </c>
      <c r="F161" s="6" t="s">
        <v>64</v>
      </c>
      <c r="G161" s="33" t="s">
        <v>137</v>
      </c>
    </row>
    <row r="162" spans="1:7" hidden="1" x14ac:dyDescent="0.25">
      <c r="A162" s="15" t="s">
        <v>6</v>
      </c>
      <c r="B162" s="37">
        <v>45980</v>
      </c>
      <c r="C162" s="6" t="s">
        <v>65</v>
      </c>
      <c r="D162" s="8">
        <v>21244</v>
      </c>
      <c r="E162" s="10" t="s">
        <v>116</v>
      </c>
      <c r="F162" s="6" t="s">
        <v>8</v>
      </c>
      <c r="G162" s="33" t="s">
        <v>157</v>
      </c>
    </row>
    <row r="163" spans="1:7" hidden="1" x14ac:dyDescent="0.25">
      <c r="A163" s="15" t="s">
        <v>6</v>
      </c>
      <c r="B163" s="37">
        <v>45980</v>
      </c>
      <c r="C163" s="6" t="s">
        <v>65</v>
      </c>
      <c r="D163" s="8">
        <v>6480</v>
      </c>
      <c r="E163" s="10" t="s">
        <v>116</v>
      </c>
      <c r="F163" s="6" t="s">
        <v>8</v>
      </c>
      <c r="G163" s="33" t="s">
        <v>157</v>
      </c>
    </row>
    <row r="164" spans="1:7" hidden="1" x14ac:dyDescent="0.25">
      <c r="A164" s="15" t="s">
        <v>6</v>
      </c>
      <c r="B164" s="37">
        <v>45980</v>
      </c>
      <c r="C164" s="6" t="s">
        <v>31</v>
      </c>
      <c r="D164" s="8">
        <v>68520</v>
      </c>
      <c r="E164" s="10" t="s">
        <v>116</v>
      </c>
      <c r="F164" s="6" t="s">
        <v>8</v>
      </c>
      <c r="G164" s="33" t="s">
        <v>158</v>
      </c>
    </row>
    <row r="165" spans="1:7" hidden="1" x14ac:dyDescent="0.25">
      <c r="A165" s="15" t="s">
        <v>6</v>
      </c>
      <c r="B165" s="37">
        <v>45980</v>
      </c>
      <c r="C165" s="6" t="s">
        <v>31</v>
      </c>
      <c r="D165" s="8">
        <v>105000</v>
      </c>
      <c r="E165" s="10" t="s">
        <v>116</v>
      </c>
      <c r="F165" s="6" t="s">
        <v>8</v>
      </c>
      <c r="G165" s="33" t="s">
        <v>159</v>
      </c>
    </row>
    <row r="166" spans="1:7" hidden="1" x14ac:dyDescent="0.25">
      <c r="A166" s="15" t="s">
        <v>6</v>
      </c>
      <c r="B166" s="37">
        <v>45980</v>
      </c>
      <c r="C166" s="6" t="s">
        <v>53</v>
      </c>
      <c r="D166" s="8">
        <v>25644</v>
      </c>
      <c r="E166" s="10" t="s">
        <v>16</v>
      </c>
      <c r="F166" s="6" t="s">
        <v>10</v>
      </c>
      <c r="G166" s="33" t="s">
        <v>54</v>
      </c>
    </row>
    <row r="167" spans="1:7" hidden="1" x14ac:dyDescent="0.25">
      <c r="A167" s="15" t="s">
        <v>6</v>
      </c>
      <c r="B167" s="37">
        <v>45980</v>
      </c>
      <c r="C167" s="6" t="s">
        <v>66</v>
      </c>
      <c r="D167" s="8">
        <v>19588</v>
      </c>
      <c r="E167" s="10" t="s">
        <v>116</v>
      </c>
      <c r="F167" s="6" t="s">
        <v>117</v>
      </c>
      <c r="G167" s="33" t="s">
        <v>67</v>
      </c>
    </row>
    <row r="168" spans="1:7" hidden="1" x14ac:dyDescent="0.25">
      <c r="A168" s="15" t="s">
        <v>6</v>
      </c>
      <c r="B168" s="37">
        <v>45980</v>
      </c>
      <c r="C168" s="6" t="s">
        <v>66</v>
      </c>
      <c r="D168" s="8">
        <v>48275</v>
      </c>
      <c r="E168" s="10" t="s">
        <v>16</v>
      </c>
      <c r="F168" s="6" t="s">
        <v>117</v>
      </c>
      <c r="G168" s="33" t="s">
        <v>160</v>
      </c>
    </row>
    <row r="169" spans="1:7" hidden="1" x14ac:dyDescent="0.25">
      <c r="A169" s="15" t="s">
        <v>6</v>
      </c>
      <c r="B169" s="37">
        <v>45980</v>
      </c>
      <c r="C169" s="6" t="s">
        <v>11</v>
      </c>
      <c r="D169" s="8">
        <v>111156</v>
      </c>
      <c r="E169" s="10" t="s">
        <v>7</v>
      </c>
      <c r="F169" s="6" t="s">
        <v>13</v>
      </c>
      <c r="G169" s="33" t="s">
        <v>12</v>
      </c>
    </row>
    <row r="170" spans="1:7" hidden="1" x14ac:dyDescent="0.25">
      <c r="A170" s="15" t="s">
        <v>6</v>
      </c>
      <c r="B170" s="37">
        <v>45985</v>
      </c>
      <c r="C170" s="6" t="s">
        <v>44</v>
      </c>
      <c r="D170" s="8">
        <v>136221</v>
      </c>
      <c r="E170" s="31" t="s">
        <v>19</v>
      </c>
      <c r="F170" s="6" t="s">
        <v>46</v>
      </c>
      <c r="G170" s="33" t="s">
        <v>68</v>
      </c>
    </row>
    <row r="171" spans="1:7" hidden="1" x14ac:dyDescent="0.25">
      <c r="A171" s="15" t="s">
        <v>6</v>
      </c>
      <c r="B171" s="37">
        <v>45985</v>
      </c>
      <c r="C171" s="6" t="s">
        <v>69</v>
      </c>
      <c r="D171" s="8">
        <v>18000</v>
      </c>
      <c r="E171" s="10" t="s">
        <v>7</v>
      </c>
      <c r="F171" s="6" t="s">
        <v>10</v>
      </c>
      <c r="G171" s="33" t="s">
        <v>70</v>
      </c>
    </row>
    <row r="172" spans="1:7" hidden="1" x14ac:dyDescent="0.25">
      <c r="A172" s="15" t="s">
        <v>6</v>
      </c>
      <c r="B172" s="37">
        <v>45985</v>
      </c>
      <c r="C172" s="6" t="s">
        <v>69</v>
      </c>
      <c r="D172" s="8">
        <v>20925</v>
      </c>
      <c r="E172" s="10" t="s">
        <v>7</v>
      </c>
      <c r="F172" s="6" t="s">
        <v>10</v>
      </c>
      <c r="G172" s="33" t="s">
        <v>70</v>
      </c>
    </row>
    <row r="173" spans="1:7" hidden="1" x14ac:dyDescent="0.25">
      <c r="A173" s="15" t="s">
        <v>6</v>
      </c>
      <c r="B173" s="37">
        <v>45985</v>
      </c>
      <c r="C173" s="6" t="s">
        <v>69</v>
      </c>
      <c r="D173" s="8">
        <v>16076</v>
      </c>
      <c r="E173" s="10" t="s">
        <v>7</v>
      </c>
      <c r="F173" s="6" t="s">
        <v>10</v>
      </c>
      <c r="G173" s="33" t="s">
        <v>70</v>
      </c>
    </row>
    <row r="174" spans="1:7" hidden="1" x14ac:dyDescent="0.25">
      <c r="A174" s="15" t="s">
        <v>6</v>
      </c>
      <c r="B174" s="37">
        <v>45979</v>
      </c>
      <c r="C174" s="6" t="s">
        <v>71</v>
      </c>
      <c r="D174" s="8">
        <v>998359</v>
      </c>
      <c r="E174" s="31" t="s">
        <v>19</v>
      </c>
      <c r="F174" s="6" t="s">
        <v>13</v>
      </c>
      <c r="G174" s="33" t="s">
        <v>72</v>
      </c>
    </row>
    <row r="175" spans="1:7" hidden="1" x14ac:dyDescent="0.25">
      <c r="A175" s="15" t="s">
        <v>6</v>
      </c>
      <c r="B175" s="37">
        <v>45980</v>
      </c>
      <c r="C175" s="6" t="s">
        <v>73</v>
      </c>
      <c r="D175" s="8">
        <v>11.8</v>
      </c>
      <c r="E175" s="31" t="s">
        <v>19</v>
      </c>
      <c r="F175" s="6" t="s">
        <v>64</v>
      </c>
      <c r="G175" s="33" t="s">
        <v>74</v>
      </c>
    </row>
    <row r="176" spans="1:7" hidden="1" x14ac:dyDescent="0.25">
      <c r="A176" s="15" t="s">
        <v>6</v>
      </c>
      <c r="B176" s="37">
        <v>45993</v>
      </c>
      <c r="C176" s="6" t="s">
        <v>104</v>
      </c>
      <c r="D176" s="8">
        <v>11500</v>
      </c>
      <c r="E176" s="10" t="s">
        <v>7</v>
      </c>
      <c r="F176" s="6" t="s">
        <v>41</v>
      </c>
      <c r="G176" s="33" t="s">
        <v>140</v>
      </c>
    </row>
    <row r="177" spans="1:7" hidden="1" x14ac:dyDescent="0.25">
      <c r="A177" s="15" t="s">
        <v>6</v>
      </c>
      <c r="B177" s="37">
        <v>45993</v>
      </c>
      <c r="C177" s="6" t="s">
        <v>105</v>
      </c>
      <c r="D177" s="8">
        <v>21547</v>
      </c>
      <c r="E177" s="10" t="s">
        <v>7</v>
      </c>
      <c r="F177" s="6" t="s">
        <v>13</v>
      </c>
      <c r="G177" s="33" t="s">
        <v>12</v>
      </c>
    </row>
    <row r="178" spans="1:7" hidden="1" x14ac:dyDescent="0.25">
      <c r="A178" s="15" t="s">
        <v>6</v>
      </c>
      <c r="B178" s="37">
        <v>45993</v>
      </c>
      <c r="C178" s="6" t="s">
        <v>81</v>
      </c>
      <c r="D178" s="8">
        <v>87261</v>
      </c>
      <c r="E178" s="10" t="s">
        <v>16</v>
      </c>
      <c r="F178" s="6" t="s">
        <v>8</v>
      </c>
      <c r="G178" s="33" t="s">
        <v>154</v>
      </c>
    </row>
    <row r="179" spans="1:7" hidden="1" x14ac:dyDescent="0.25">
      <c r="A179" s="15" t="s">
        <v>6</v>
      </c>
      <c r="B179" s="37">
        <v>45993</v>
      </c>
      <c r="C179" s="6" t="s">
        <v>87</v>
      </c>
      <c r="D179" s="8">
        <v>15812</v>
      </c>
      <c r="E179" s="10" t="s">
        <v>7</v>
      </c>
      <c r="F179" s="6" t="s">
        <v>22</v>
      </c>
      <c r="G179" s="33" t="s">
        <v>130</v>
      </c>
    </row>
    <row r="180" spans="1:7" hidden="1" x14ac:dyDescent="0.25">
      <c r="A180" s="15" t="s">
        <v>6</v>
      </c>
      <c r="B180" s="37">
        <v>45993</v>
      </c>
      <c r="C180" s="6" t="s">
        <v>52</v>
      </c>
      <c r="D180" s="8">
        <v>2950</v>
      </c>
      <c r="E180" s="10" t="s">
        <v>7</v>
      </c>
      <c r="F180" s="6" t="s">
        <v>13</v>
      </c>
      <c r="G180" s="33" t="s">
        <v>12</v>
      </c>
    </row>
    <row r="181" spans="1:7" hidden="1" x14ac:dyDescent="0.25">
      <c r="A181" s="15" t="s">
        <v>6</v>
      </c>
      <c r="B181" s="37">
        <v>45993</v>
      </c>
      <c r="C181" s="6" t="s">
        <v>104</v>
      </c>
      <c r="D181" s="8">
        <v>30000</v>
      </c>
      <c r="E181" s="10" t="s">
        <v>7</v>
      </c>
      <c r="F181" s="6" t="s">
        <v>41</v>
      </c>
      <c r="G181" s="33" t="s">
        <v>140</v>
      </c>
    </row>
    <row r="182" spans="1:7" hidden="1" x14ac:dyDescent="0.25">
      <c r="A182" s="15" t="s">
        <v>6</v>
      </c>
      <c r="B182" s="37">
        <v>45993</v>
      </c>
      <c r="C182" s="6" t="s">
        <v>81</v>
      </c>
      <c r="D182" s="8">
        <v>268282</v>
      </c>
      <c r="E182" s="10" t="s">
        <v>16</v>
      </c>
      <c r="F182" s="6" t="s">
        <v>8</v>
      </c>
      <c r="G182" s="33" t="s">
        <v>144</v>
      </c>
    </row>
    <row r="183" spans="1:7" hidden="1" x14ac:dyDescent="0.25">
      <c r="A183" s="15" t="s">
        <v>6</v>
      </c>
      <c r="B183" s="37">
        <v>45994</v>
      </c>
      <c r="C183" s="6" t="s">
        <v>106</v>
      </c>
      <c r="D183" s="8">
        <v>32715</v>
      </c>
      <c r="E183" s="10" t="s">
        <v>7</v>
      </c>
      <c r="F183" s="6" t="s">
        <v>117</v>
      </c>
      <c r="G183" s="33" t="s">
        <v>161</v>
      </c>
    </row>
    <row r="184" spans="1:7" hidden="1" x14ac:dyDescent="0.25">
      <c r="A184" s="15" t="s">
        <v>6</v>
      </c>
      <c r="B184" s="37">
        <v>45994</v>
      </c>
      <c r="C184" s="6" t="s">
        <v>99</v>
      </c>
      <c r="D184" s="8">
        <v>95964</v>
      </c>
      <c r="E184" s="10" t="s">
        <v>7</v>
      </c>
      <c r="F184" s="6" t="s">
        <v>22</v>
      </c>
      <c r="G184" s="33" t="s">
        <v>162</v>
      </c>
    </row>
    <row r="185" spans="1:7" hidden="1" x14ac:dyDescent="0.25">
      <c r="A185" s="15" t="s">
        <v>6</v>
      </c>
      <c r="B185" s="37">
        <v>45994</v>
      </c>
      <c r="C185" s="6" t="s">
        <v>107</v>
      </c>
      <c r="D185" s="8">
        <v>37000</v>
      </c>
      <c r="E185" s="10" t="s">
        <v>7</v>
      </c>
      <c r="F185" s="6" t="s">
        <v>13</v>
      </c>
      <c r="G185" s="33" t="s">
        <v>12</v>
      </c>
    </row>
    <row r="186" spans="1:7" hidden="1" x14ac:dyDescent="0.25">
      <c r="A186" s="15" t="s">
        <v>6</v>
      </c>
      <c r="B186" s="37">
        <v>45995</v>
      </c>
      <c r="C186" s="6" t="s">
        <v>42</v>
      </c>
      <c r="D186" s="8">
        <v>1559727</v>
      </c>
      <c r="E186" s="31" t="s">
        <v>19</v>
      </c>
      <c r="F186" s="6" t="s">
        <v>37</v>
      </c>
      <c r="G186" s="33" t="s">
        <v>43</v>
      </c>
    </row>
    <row r="187" spans="1:7" hidden="1" x14ac:dyDescent="0.25">
      <c r="A187" s="15" t="s">
        <v>6</v>
      </c>
      <c r="B187" s="37">
        <v>45994</v>
      </c>
      <c r="C187" s="6" t="s">
        <v>42</v>
      </c>
      <c r="D187" s="8">
        <v>152590</v>
      </c>
      <c r="E187" s="31" t="s">
        <v>19</v>
      </c>
      <c r="F187" s="6" t="s">
        <v>37</v>
      </c>
      <c r="G187" s="33" t="s">
        <v>43</v>
      </c>
    </row>
    <row r="188" spans="1:7" hidden="1" x14ac:dyDescent="0.25">
      <c r="A188" s="15" t="s">
        <v>6</v>
      </c>
      <c r="B188" s="37">
        <v>45994</v>
      </c>
      <c r="C188" s="6" t="s">
        <v>42</v>
      </c>
      <c r="D188" s="8">
        <v>43345</v>
      </c>
      <c r="E188" s="31" t="s">
        <v>19</v>
      </c>
      <c r="F188" s="6" t="s">
        <v>37</v>
      </c>
      <c r="G188" s="33" t="s">
        <v>43</v>
      </c>
    </row>
    <row r="189" spans="1:7" hidden="1" x14ac:dyDescent="0.25">
      <c r="A189" s="15" t="s">
        <v>6</v>
      </c>
      <c r="B189" s="37">
        <v>45994</v>
      </c>
      <c r="C189" s="6" t="s">
        <v>79</v>
      </c>
      <c r="D189" s="8">
        <v>1550</v>
      </c>
      <c r="E189" s="10" t="s">
        <v>7</v>
      </c>
      <c r="F189" s="6" t="s">
        <v>8</v>
      </c>
      <c r="G189" s="33" t="s">
        <v>129</v>
      </c>
    </row>
    <row r="190" spans="1:7" hidden="1" x14ac:dyDescent="0.25">
      <c r="A190" s="15" t="s">
        <v>6</v>
      </c>
      <c r="B190" s="37">
        <v>46006</v>
      </c>
      <c r="C190" s="6" t="s">
        <v>97</v>
      </c>
      <c r="D190" s="8">
        <v>91096</v>
      </c>
      <c r="E190" s="31" t="s">
        <v>19</v>
      </c>
      <c r="F190" s="6" t="s">
        <v>46</v>
      </c>
      <c r="G190" s="33" t="s">
        <v>170</v>
      </c>
    </row>
    <row r="191" spans="1:7" hidden="1" x14ac:dyDescent="0.25">
      <c r="A191" s="15" t="s">
        <v>6</v>
      </c>
      <c r="B191" s="37">
        <v>46006</v>
      </c>
      <c r="C191" s="6" t="s">
        <v>97</v>
      </c>
      <c r="D191" s="8">
        <v>68832.94</v>
      </c>
      <c r="E191" s="31" t="s">
        <v>19</v>
      </c>
      <c r="F191" s="6" t="s">
        <v>46</v>
      </c>
      <c r="G191" s="33" t="s">
        <v>170</v>
      </c>
    </row>
    <row r="192" spans="1:7" hidden="1" x14ac:dyDescent="0.25">
      <c r="A192" s="15" t="s">
        <v>6</v>
      </c>
      <c r="B192" s="37">
        <v>46006</v>
      </c>
      <c r="C192" s="6" t="s">
        <v>97</v>
      </c>
      <c r="D192" s="8">
        <v>62870.400000000001</v>
      </c>
      <c r="E192" s="31" t="s">
        <v>19</v>
      </c>
      <c r="F192" s="6" t="s">
        <v>46</v>
      </c>
      <c r="G192" s="33" t="s">
        <v>170</v>
      </c>
    </row>
    <row r="193" spans="1:7" hidden="1" x14ac:dyDescent="0.25">
      <c r="A193" s="15" t="s">
        <v>6</v>
      </c>
      <c r="B193" s="37">
        <v>46006</v>
      </c>
      <c r="C193" s="6" t="s">
        <v>97</v>
      </c>
      <c r="D193" s="8">
        <v>44707.839999999997</v>
      </c>
      <c r="E193" s="31" t="s">
        <v>19</v>
      </c>
      <c r="F193" s="6" t="s">
        <v>46</v>
      </c>
      <c r="G193" s="33" t="s">
        <v>170</v>
      </c>
    </row>
    <row r="194" spans="1:7" hidden="1" x14ac:dyDescent="0.25">
      <c r="A194" s="15" t="s">
        <v>6</v>
      </c>
      <c r="B194" s="37">
        <v>46006</v>
      </c>
      <c r="C194" s="6" t="s">
        <v>97</v>
      </c>
      <c r="D194" s="8">
        <v>37531.08</v>
      </c>
      <c r="E194" s="31" t="s">
        <v>19</v>
      </c>
      <c r="F194" s="6" t="s">
        <v>46</v>
      </c>
      <c r="G194" s="33" t="s">
        <v>170</v>
      </c>
    </row>
    <row r="195" spans="1:7" hidden="1" x14ac:dyDescent="0.25">
      <c r="A195" s="15" t="s">
        <v>6</v>
      </c>
      <c r="B195" s="37">
        <v>46006</v>
      </c>
      <c r="C195" s="6" t="s">
        <v>97</v>
      </c>
      <c r="D195" s="8">
        <v>225512.16</v>
      </c>
      <c r="E195" s="31" t="s">
        <v>19</v>
      </c>
      <c r="F195" s="6" t="s">
        <v>46</v>
      </c>
      <c r="G195" s="33" t="s">
        <v>171</v>
      </c>
    </row>
    <row r="196" spans="1:7" hidden="1" x14ac:dyDescent="0.25">
      <c r="A196" s="15" t="s">
        <v>6</v>
      </c>
      <c r="B196" s="37">
        <v>46006</v>
      </c>
      <c r="C196" s="6" t="s">
        <v>97</v>
      </c>
      <c r="D196" s="8">
        <v>249299.78</v>
      </c>
      <c r="E196" s="31" t="s">
        <v>19</v>
      </c>
      <c r="F196" s="6" t="s">
        <v>46</v>
      </c>
      <c r="G196" s="33" t="s">
        <v>172</v>
      </c>
    </row>
    <row r="197" spans="1:7" hidden="1" x14ac:dyDescent="0.25">
      <c r="A197" s="15" t="s">
        <v>6</v>
      </c>
      <c r="B197" s="37">
        <v>46006</v>
      </c>
      <c r="C197" s="6" t="s">
        <v>97</v>
      </c>
      <c r="D197" s="8">
        <v>30798</v>
      </c>
      <c r="E197" s="31" t="s">
        <v>19</v>
      </c>
      <c r="F197" s="6" t="s">
        <v>46</v>
      </c>
      <c r="G197" s="33" t="s">
        <v>173</v>
      </c>
    </row>
    <row r="198" spans="1:7" hidden="1" x14ac:dyDescent="0.25">
      <c r="A198" s="15" t="s">
        <v>6</v>
      </c>
      <c r="B198" s="37">
        <v>46006</v>
      </c>
      <c r="C198" s="6" t="s">
        <v>97</v>
      </c>
      <c r="D198" s="8">
        <v>35105</v>
      </c>
      <c r="E198" s="31" t="s">
        <v>19</v>
      </c>
      <c r="F198" s="6" t="s">
        <v>46</v>
      </c>
      <c r="G198" s="33" t="s">
        <v>173</v>
      </c>
    </row>
    <row r="199" spans="1:7" hidden="1" x14ac:dyDescent="0.25">
      <c r="A199" s="15" t="s">
        <v>6</v>
      </c>
      <c r="B199" s="37">
        <v>46006</v>
      </c>
      <c r="C199" s="6" t="s">
        <v>97</v>
      </c>
      <c r="D199" s="8">
        <v>31467.059999999998</v>
      </c>
      <c r="E199" s="31" t="s">
        <v>19</v>
      </c>
      <c r="F199" s="6" t="s">
        <v>46</v>
      </c>
      <c r="G199" s="33" t="s">
        <v>174</v>
      </c>
    </row>
    <row r="200" spans="1:7" hidden="1" x14ac:dyDescent="0.25">
      <c r="A200" s="15" t="s">
        <v>6</v>
      </c>
      <c r="B200" s="37">
        <v>46006</v>
      </c>
      <c r="C200" s="6" t="s">
        <v>97</v>
      </c>
      <c r="D200" s="8">
        <v>54280</v>
      </c>
      <c r="E200" s="31" t="s">
        <v>19</v>
      </c>
      <c r="F200" s="6" t="s">
        <v>46</v>
      </c>
      <c r="G200" s="33" t="s">
        <v>174</v>
      </c>
    </row>
    <row r="201" spans="1:7" hidden="1" x14ac:dyDescent="0.25">
      <c r="A201" s="15" t="s">
        <v>6</v>
      </c>
      <c r="B201" s="37">
        <v>46006</v>
      </c>
      <c r="C201" s="6" t="s">
        <v>97</v>
      </c>
      <c r="D201" s="8">
        <v>757067.94</v>
      </c>
      <c r="E201" s="31" t="s">
        <v>19</v>
      </c>
      <c r="F201" s="6" t="s">
        <v>46</v>
      </c>
      <c r="G201" s="33" t="s">
        <v>174</v>
      </c>
    </row>
    <row r="202" spans="1:7" hidden="1" x14ac:dyDescent="0.25">
      <c r="A202" s="15" t="s">
        <v>6</v>
      </c>
      <c r="B202" s="37">
        <v>46006</v>
      </c>
      <c r="C202" s="6" t="s">
        <v>97</v>
      </c>
      <c r="D202" s="8">
        <v>23600</v>
      </c>
      <c r="E202" s="31" t="s">
        <v>19</v>
      </c>
      <c r="F202" s="6" t="s">
        <v>46</v>
      </c>
      <c r="G202" s="33" t="s">
        <v>175</v>
      </c>
    </row>
    <row r="203" spans="1:7" hidden="1" x14ac:dyDescent="0.25">
      <c r="A203" s="15" t="s">
        <v>6</v>
      </c>
      <c r="B203" s="37">
        <v>46006</v>
      </c>
      <c r="C203" s="6" t="s">
        <v>97</v>
      </c>
      <c r="D203" s="8">
        <v>22420</v>
      </c>
      <c r="E203" s="31" t="s">
        <v>19</v>
      </c>
      <c r="F203" s="6" t="s">
        <v>46</v>
      </c>
      <c r="G203" s="33" t="s">
        <v>174</v>
      </c>
    </row>
    <row r="204" spans="1:7" hidden="1" x14ac:dyDescent="0.25">
      <c r="A204" s="15" t="s">
        <v>6</v>
      </c>
      <c r="B204" s="37">
        <v>46006</v>
      </c>
      <c r="C204" s="6" t="s">
        <v>97</v>
      </c>
      <c r="D204" s="8">
        <v>43329.599999999999</v>
      </c>
      <c r="E204" s="31" t="s">
        <v>19</v>
      </c>
      <c r="F204" s="6" t="s">
        <v>46</v>
      </c>
      <c r="G204" s="33" t="s">
        <v>170</v>
      </c>
    </row>
    <row r="205" spans="1:7" hidden="1" x14ac:dyDescent="0.25">
      <c r="A205" s="15" t="s">
        <v>6</v>
      </c>
      <c r="B205" s="37">
        <v>46006</v>
      </c>
      <c r="C205" s="6" t="s">
        <v>97</v>
      </c>
      <c r="D205" s="8">
        <v>94400</v>
      </c>
      <c r="E205" s="31" t="s">
        <v>19</v>
      </c>
      <c r="F205" s="6" t="s">
        <v>46</v>
      </c>
      <c r="G205" s="33" t="s">
        <v>176</v>
      </c>
    </row>
    <row r="206" spans="1:7" hidden="1" x14ac:dyDescent="0.25">
      <c r="A206" s="15" t="s">
        <v>6</v>
      </c>
      <c r="B206" s="37">
        <v>46001</v>
      </c>
      <c r="C206" s="6" t="s">
        <v>27</v>
      </c>
      <c r="D206" s="8">
        <v>24780</v>
      </c>
      <c r="E206" s="31" t="s">
        <v>19</v>
      </c>
      <c r="F206" s="6" t="s">
        <v>117</v>
      </c>
      <c r="G206" s="33" t="s">
        <v>28</v>
      </c>
    </row>
    <row r="207" spans="1:7" hidden="1" x14ac:dyDescent="0.25">
      <c r="A207" s="15" t="s">
        <v>6</v>
      </c>
      <c r="B207" s="37">
        <v>46001</v>
      </c>
      <c r="C207" s="6" t="s">
        <v>20</v>
      </c>
      <c r="D207" s="8">
        <v>121540</v>
      </c>
      <c r="E207" s="31" t="s">
        <v>19</v>
      </c>
      <c r="F207" s="6" t="s">
        <v>22</v>
      </c>
      <c r="G207" s="33" t="s">
        <v>21</v>
      </c>
    </row>
    <row r="208" spans="1:7" hidden="1" x14ac:dyDescent="0.25">
      <c r="A208" s="15" t="s">
        <v>6</v>
      </c>
      <c r="B208" s="37">
        <v>46001</v>
      </c>
      <c r="C208" s="6" t="s">
        <v>63</v>
      </c>
      <c r="D208" s="8">
        <v>106067.84</v>
      </c>
      <c r="E208" s="31" t="s">
        <v>19</v>
      </c>
      <c r="F208" s="6" t="s">
        <v>64</v>
      </c>
      <c r="G208" s="33" t="s">
        <v>137</v>
      </c>
    </row>
    <row r="209" spans="1:7" hidden="1" x14ac:dyDescent="0.25">
      <c r="A209" s="15" t="s">
        <v>6</v>
      </c>
      <c r="B209" s="37">
        <v>46001</v>
      </c>
      <c r="C209" s="6" t="s">
        <v>60</v>
      </c>
      <c r="D209" s="8">
        <v>6600</v>
      </c>
      <c r="E209" s="31" t="s">
        <v>19</v>
      </c>
      <c r="F209" s="6" t="s">
        <v>117</v>
      </c>
      <c r="G209" s="33" t="s">
        <v>156</v>
      </c>
    </row>
    <row r="210" spans="1:7" hidden="1" x14ac:dyDescent="0.25">
      <c r="A210" s="15" t="s">
        <v>6</v>
      </c>
      <c r="B210" s="37">
        <v>46001</v>
      </c>
      <c r="C210" s="6" t="s">
        <v>108</v>
      </c>
      <c r="D210" s="8">
        <v>348450</v>
      </c>
      <c r="E210" s="10" t="s">
        <v>16</v>
      </c>
      <c r="F210" s="6" t="s">
        <v>8</v>
      </c>
      <c r="G210" s="33" t="s">
        <v>149</v>
      </c>
    </row>
    <row r="211" spans="1:7" hidden="1" x14ac:dyDescent="0.25">
      <c r="A211" s="15" t="s">
        <v>6</v>
      </c>
      <c r="B211" s="37">
        <v>46001</v>
      </c>
      <c r="C211" s="6" t="s">
        <v>94</v>
      </c>
      <c r="D211" s="8">
        <v>426046.43400000001</v>
      </c>
      <c r="E211" s="31" t="s">
        <v>19</v>
      </c>
      <c r="F211" s="6" t="s">
        <v>8</v>
      </c>
      <c r="G211" s="33" t="s">
        <v>55</v>
      </c>
    </row>
    <row r="212" spans="1:7" hidden="1" x14ac:dyDescent="0.25">
      <c r="A212" s="15" t="s">
        <v>6</v>
      </c>
      <c r="B212" s="37">
        <v>46001</v>
      </c>
      <c r="C212" s="6" t="s">
        <v>56</v>
      </c>
      <c r="D212" s="8">
        <v>10596.4</v>
      </c>
      <c r="E212" s="31" t="s">
        <v>19</v>
      </c>
      <c r="F212" s="6" t="s">
        <v>8</v>
      </c>
      <c r="G212" s="33" t="s">
        <v>142</v>
      </c>
    </row>
    <row r="213" spans="1:7" hidden="1" x14ac:dyDescent="0.25">
      <c r="A213" s="15" t="s">
        <v>6</v>
      </c>
      <c r="B213" s="37">
        <v>46001</v>
      </c>
      <c r="C213" s="6" t="s">
        <v>102</v>
      </c>
      <c r="D213" s="8">
        <v>4248</v>
      </c>
      <c r="E213" s="10" t="s">
        <v>7</v>
      </c>
      <c r="F213" s="6" t="s">
        <v>37</v>
      </c>
      <c r="G213" s="33" t="s">
        <v>148</v>
      </c>
    </row>
    <row r="214" spans="1:7" hidden="1" x14ac:dyDescent="0.25">
      <c r="A214" s="15" t="s">
        <v>6</v>
      </c>
      <c r="B214" s="37">
        <v>46001</v>
      </c>
      <c r="C214" s="6" t="s">
        <v>65</v>
      </c>
      <c r="D214" s="8">
        <v>3824</v>
      </c>
      <c r="E214" s="10" t="s">
        <v>7</v>
      </c>
      <c r="F214" s="6" t="s">
        <v>8</v>
      </c>
      <c r="G214" s="33" t="s">
        <v>157</v>
      </c>
    </row>
    <row r="215" spans="1:7" hidden="1" x14ac:dyDescent="0.25">
      <c r="A215" s="15" t="s">
        <v>6</v>
      </c>
      <c r="B215" s="37">
        <v>46001</v>
      </c>
      <c r="C215" s="6" t="s">
        <v>65</v>
      </c>
      <c r="D215" s="8">
        <v>1166</v>
      </c>
      <c r="E215" s="10" t="s">
        <v>7</v>
      </c>
      <c r="F215" s="6" t="s">
        <v>8</v>
      </c>
      <c r="G215" s="33" t="s">
        <v>157</v>
      </c>
    </row>
    <row r="216" spans="1:7" hidden="1" x14ac:dyDescent="0.25">
      <c r="A216" s="15" t="s">
        <v>6</v>
      </c>
      <c r="B216" s="37">
        <v>46007</v>
      </c>
      <c r="C216" s="6" t="s">
        <v>109</v>
      </c>
      <c r="D216" s="8">
        <v>35500</v>
      </c>
      <c r="E216" s="10" t="s">
        <v>7</v>
      </c>
      <c r="F216" s="6" t="s">
        <v>41</v>
      </c>
      <c r="G216" s="33" t="s">
        <v>163</v>
      </c>
    </row>
    <row r="217" spans="1:7" hidden="1" x14ac:dyDescent="0.25">
      <c r="A217" s="15" t="s">
        <v>6</v>
      </c>
      <c r="B217" s="37">
        <v>46007</v>
      </c>
      <c r="C217" s="6" t="s">
        <v>69</v>
      </c>
      <c r="D217" s="8">
        <v>24480</v>
      </c>
      <c r="E217" s="10" t="s">
        <v>7</v>
      </c>
      <c r="F217" s="6" t="s">
        <v>10</v>
      </c>
      <c r="G217" s="33" t="s">
        <v>70</v>
      </c>
    </row>
    <row r="218" spans="1:7" hidden="1" x14ac:dyDescent="0.25">
      <c r="A218" s="15" t="s">
        <v>6</v>
      </c>
      <c r="B218" s="37">
        <v>46007</v>
      </c>
      <c r="C218" s="6" t="s">
        <v>69</v>
      </c>
      <c r="D218" s="8">
        <v>28458</v>
      </c>
      <c r="E218" s="10" t="s">
        <v>7</v>
      </c>
      <c r="F218" s="6" t="s">
        <v>10</v>
      </c>
      <c r="G218" s="33" t="s">
        <v>70</v>
      </c>
    </row>
    <row r="219" spans="1:7" hidden="1" x14ac:dyDescent="0.25">
      <c r="A219" s="15" t="s">
        <v>6</v>
      </c>
      <c r="B219" s="37">
        <v>46007</v>
      </c>
      <c r="C219" s="6" t="s">
        <v>69</v>
      </c>
      <c r="D219" s="8">
        <v>21862</v>
      </c>
      <c r="E219" s="10" t="s">
        <v>7</v>
      </c>
      <c r="F219" s="6" t="s">
        <v>10</v>
      </c>
      <c r="G219" s="33" t="s">
        <v>70</v>
      </c>
    </row>
    <row r="220" spans="1:7" hidden="1" x14ac:dyDescent="0.25">
      <c r="A220" s="15" t="s">
        <v>6</v>
      </c>
      <c r="B220" s="37">
        <v>46007</v>
      </c>
      <c r="C220" s="6" t="s">
        <v>97</v>
      </c>
      <c r="D220" s="8">
        <v>98441</v>
      </c>
      <c r="E220" s="31" t="s">
        <v>19</v>
      </c>
      <c r="F220" s="6" t="s">
        <v>118</v>
      </c>
      <c r="G220" s="33" t="s">
        <v>170</v>
      </c>
    </row>
    <row r="221" spans="1:7" x14ac:dyDescent="0.25">
      <c r="A221" s="15" t="s">
        <v>6</v>
      </c>
      <c r="B221" s="37">
        <v>46007</v>
      </c>
      <c r="C221" s="6" t="s">
        <v>110</v>
      </c>
      <c r="D221" s="8">
        <v>23600</v>
      </c>
      <c r="E221" s="10" t="s">
        <v>7</v>
      </c>
      <c r="F221" s="6" t="s">
        <v>118</v>
      </c>
      <c r="G221" s="33" t="s">
        <v>164</v>
      </c>
    </row>
    <row r="222" spans="1:7" hidden="1" x14ac:dyDescent="0.25">
      <c r="A222" s="15" t="s">
        <v>6</v>
      </c>
      <c r="B222" s="37">
        <v>46007</v>
      </c>
      <c r="C222" s="6" t="s">
        <v>58</v>
      </c>
      <c r="D222" s="8">
        <v>542790.56000000006</v>
      </c>
      <c r="E222" s="31" t="s">
        <v>19</v>
      </c>
      <c r="F222" s="6" t="s">
        <v>41</v>
      </c>
      <c r="G222" s="33" t="s">
        <v>59</v>
      </c>
    </row>
    <row r="223" spans="1:7" hidden="1" x14ac:dyDescent="0.25">
      <c r="A223" s="15" t="s">
        <v>6</v>
      </c>
      <c r="B223" s="37">
        <v>46007</v>
      </c>
      <c r="C223" s="6" t="s">
        <v>35</v>
      </c>
      <c r="D223" s="8">
        <v>8850</v>
      </c>
      <c r="E223" s="31" t="s">
        <v>19</v>
      </c>
      <c r="F223" s="6" t="s">
        <v>37</v>
      </c>
      <c r="G223" s="33" t="s">
        <v>36</v>
      </c>
    </row>
    <row r="224" spans="1:7" hidden="1" x14ac:dyDescent="0.25">
      <c r="A224" s="15" t="s">
        <v>6</v>
      </c>
      <c r="B224" s="37">
        <v>46007</v>
      </c>
      <c r="C224" s="6" t="s">
        <v>103</v>
      </c>
      <c r="D224" s="8">
        <v>100000</v>
      </c>
      <c r="E224" s="10" t="s">
        <v>16</v>
      </c>
      <c r="F224" s="6" t="s">
        <v>117</v>
      </c>
      <c r="G224" s="33" t="s">
        <v>150</v>
      </c>
    </row>
    <row r="225" spans="1:7" hidden="1" x14ac:dyDescent="0.25">
      <c r="A225" s="15" t="s">
        <v>6</v>
      </c>
      <c r="B225" s="37">
        <v>46007</v>
      </c>
      <c r="C225" s="6" t="s">
        <v>111</v>
      </c>
      <c r="D225" s="8">
        <v>54000</v>
      </c>
      <c r="E225" s="10" t="s">
        <v>7</v>
      </c>
      <c r="F225" s="6" t="s">
        <v>41</v>
      </c>
      <c r="G225" s="33" t="s">
        <v>140</v>
      </c>
    </row>
    <row r="226" spans="1:7" hidden="1" x14ac:dyDescent="0.25">
      <c r="A226" s="15" t="s">
        <v>6</v>
      </c>
      <c r="B226" s="37">
        <v>46007</v>
      </c>
      <c r="C226" s="6" t="s">
        <v>35</v>
      </c>
      <c r="D226" s="8">
        <v>2470.5</v>
      </c>
      <c r="E226" s="10" t="s">
        <v>7</v>
      </c>
      <c r="F226" s="6" t="s">
        <v>37</v>
      </c>
      <c r="G226" s="33" t="s">
        <v>125</v>
      </c>
    </row>
    <row r="227" spans="1:7" hidden="1" x14ac:dyDescent="0.25">
      <c r="A227" s="15" t="s">
        <v>6</v>
      </c>
      <c r="B227" s="37">
        <v>46008</v>
      </c>
      <c r="C227" s="6" t="s">
        <v>9</v>
      </c>
      <c r="D227" s="8">
        <v>12620</v>
      </c>
      <c r="E227" s="10" t="s">
        <v>7</v>
      </c>
      <c r="F227" s="6" t="s">
        <v>8</v>
      </c>
      <c r="G227" s="33" t="s">
        <v>151</v>
      </c>
    </row>
    <row r="228" spans="1:7" hidden="1" x14ac:dyDescent="0.25">
      <c r="A228" s="15" t="s">
        <v>6</v>
      </c>
      <c r="B228" s="37">
        <v>46008</v>
      </c>
      <c r="C228" s="6" t="s">
        <v>112</v>
      </c>
      <c r="D228" s="8">
        <v>22584.744999999999</v>
      </c>
      <c r="E228" s="10" t="s">
        <v>16</v>
      </c>
      <c r="F228" s="6" t="s">
        <v>13</v>
      </c>
      <c r="G228" s="33" t="s">
        <v>165</v>
      </c>
    </row>
    <row r="229" spans="1:7" hidden="1" x14ac:dyDescent="0.25">
      <c r="A229" s="15" t="s">
        <v>6</v>
      </c>
      <c r="B229" s="37">
        <v>46008</v>
      </c>
      <c r="C229" s="6" t="s">
        <v>112</v>
      </c>
      <c r="D229" s="8">
        <v>20474.575000000001</v>
      </c>
      <c r="E229" s="10" t="s">
        <v>16</v>
      </c>
      <c r="F229" s="6" t="s">
        <v>13</v>
      </c>
      <c r="G229" s="33" t="s">
        <v>165</v>
      </c>
    </row>
    <row r="230" spans="1:7" hidden="1" x14ac:dyDescent="0.25">
      <c r="A230" s="15" t="s">
        <v>6</v>
      </c>
      <c r="B230" s="37">
        <v>46011</v>
      </c>
      <c r="C230" s="6" t="s">
        <v>113</v>
      </c>
      <c r="D230" s="8">
        <v>3915</v>
      </c>
      <c r="E230" s="10" t="s">
        <v>7</v>
      </c>
      <c r="F230" s="6" t="s">
        <v>37</v>
      </c>
      <c r="G230" s="33" t="s">
        <v>166</v>
      </c>
    </row>
    <row r="231" spans="1:7" hidden="1" x14ac:dyDescent="0.25">
      <c r="A231" s="15" t="s">
        <v>6</v>
      </c>
      <c r="B231" s="37">
        <v>46011</v>
      </c>
      <c r="C231" s="6" t="s">
        <v>114</v>
      </c>
      <c r="D231" s="8">
        <v>19067.849999999999</v>
      </c>
      <c r="E231" s="10" t="s">
        <v>7</v>
      </c>
      <c r="F231" s="6" t="s">
        <v>117</v>
      </c>
      <c r="G231" s="33" t="s">
        <v>167</v>
      </c>
    </row>
    <row r="232" spans="1:7" hidden="1" x14ac:dyDescent="0.25">
      <c r="A232" s="15" t="s">
        <v>6</v>
      </c>
      <c r="B232" s="37">
        <v>46011</v>
      </c>
      <c r="C232" s="6" t="s">
        <v>79</v>
      </c>
      <c r="D232" s="8">
        <v>1050</v>
      </c>
      <c r="E232" s="10" t="s">
        <v>7</v>
      </c>
      <c r="F232" s="6" t="s">
        <v>10</v>
      </c>
      <c r="G232" s="33" t="s">
        <v>129</v>
      </c>
    </row>
    <row r="233" spans="1:7" hidden="1" x14ac:dyDescent="0.25">
      <c r="A233" s="15" t="s">
        <v>6</v>
      </c>
      <c r="B233" s="37">
        <v>46014</v>
      </c>
      <c r="C233" s="6" t="s">
        <v>103</v>
      </c>
      <c r="D233" s="8">
        <v>135472</v>
      </c>
      <c r="E233" s="10" t="s">
        <v>16</v>
      </c>
      <c r="F233" s="6" t="s">
        <v>117</v>
      </c>
      <c r="G233" s="33" t="s">
        <v>150</v>
      </c>
    </row>
    <row r="234" spans="1:7" hidden="1" x14ac:dyDescent="0.25">
      <c r="A234" s="15" t="s">
        <v>6</v>
      </c>
      <c r="B234" s="37">
        <v>46015</v>
      </c>
      <c r="C234" s="6" t="s">
        <v>113</v>
      </c>
      <c r="D234" s="8">
        <v>4350</v>
      </c>
      <c r="E234" s="10" t="s">
        <v>7</v>
      </c>
      <c r="F234" s="6" t="s">
        <v>37</v>
      </c>
      <c r="G234" s="33" t="s">
        <v>166</v>
      </c>
    </row>
    <row r="235" spans="1:7" hidden="1" x14ac:dyDescent="0.25">
      <c r="A235" s="15" t="s">
        <v>6</v>
      </c>
      <c r="B235" s="37">
        <v>46015</v>
      </c>
      <c r="C235" s="6" t="s">
        <v>35</v>
      </c>
      <c r="D235" s="8">
        <v>9322</v>
      </c>
      <c r="E235" s="10" t="s">
        <v>7</v>
      </c>
      <c r="F235" s="6" t="s">
        <v>37</v>
      </c>
      <c r="G235" s="33" t="s">
        <v>125</v>
      </c>
    </row>
    <row r="236" spans="1:7" hidden="1" x14ac:dyDescent="0.25">
      <c r="A236" s="15" t="s">
        <v>6</v>
      </c>
      <c r="B236" s="37">
        <v>46015</v>
      </c>
      <c r="C236" s="6" t="s">
        <v>91</v>
      </c>
      <c r="D236" s="8">
        <v>55288</v>
      </c>
      <c r="E236" s="31" t="s">
        <v>19</v>
      </c>
      <c r="F236" s="6" t="s">
        <v>13</v>
      </c>
      <c r="G236" s="33" t="s">
        <v>133</v>
      </c>
    </row>
    <row r="237" spans="1:7" hidden="1" x14ac:dyDescent="0.25">
      <c r="A237" s="15" t="s">
        <v>6</v>
      </c>
      <c r="B237" s="37">
        <v>46015</v>
      </c>
      <c r="C237" s="6" t="s">
        <v>115</v>
      </c>
      <c r="D237" s="8">
        <v>3800</v>
      </c>
      <c r="E237" s="10" t="s">
        <v>7</v>
      </c>
      <c r="F237" s="6" t="s">
        <v>8</v>
      </c>
      <c r="G237" s="33" t="s">
        <v>168</v>
      </c>
    </row>
    <row r="238" spans="1:7" hidden="1" x14ac:dyDescent="0.25">
      <c r="A238" s="15" t="s">
        <v>6</v>
      </c>
      <c r="B238" s="37">
        <v>46020</v>
      </c>
      <c r="C238" s="6" t="s">
        <v>52</v>
      </c>
      <c r="D238" s="8">
        <v>25382</v>
      </c>
      <c r="E238" s="10" t="s">
        <v>7</v>
      </c>
      <c r="F238" s="6" t="s">
        <v>13</v>
      </c>
      <c r="G238" s="33" t="s">
        <v>12</v>
      </c>
    </row>
    <row r="239" spans="1:7" hidden="1" x14ac:dyDescent="0.25">
      <c r="A239" s="15" t="s">
        <v>6</v>
      </c>
      <c r="B239" s="37">
        <v>46020</v>
      </c>
      <c r="C239" s="6" t="s">
        <v>115</v>
      </c>
      <c r="D239" s="8">
        <v>4900</v>
      </c>
      <c r="E239" s="10" t="s">
        <v>7</v>
      </c>
      <c r="F239" s="6" t="s">
        <v>10</v>
      </c>
      <c r="G239" s="33" t="s">
        <v>169</v>
      </c>
    </row>
    <row r="240" spans="1:7" hidden="1" x14ac:dyDescent="0.25">
      <c r="A240" s="15" t="s">
        <v>6</v>
      </c>
      <c r="B240" s="37">
        <v>46020</v>
      </c>
      <c r="C240" s="6" t="s">
        <v>114</v>
      </c>
      <c r="D240" s="8">
        <v>3432</v>
      </c>
      <c r="E240" s="10" t="s">
        <v>7</v>
      </c>
      <c r="F240" s="6" t="s">
        <v>117</v>
      </c>
      <c r="G240" s="33" t="s">
        <v>167</v>
      </c>
    </row>
    <row r="241" spans="1:7" hidden="1" x14ac:dyDescent="0.25">
      <c r="A241" s="15" t="s">
        <v>6</v>
      </c>
      <c r="B241" s="37">
        <v>46021</v>
      </c>
      <c r="C241" s="6" t="s">
        <v>115</v>
      </c>
      <c r="D241" s="8">
        <v>14700</v>
      </c>
      <c r="E241" s="10" t="s">
        <v>7</v>
      </c>
      <c r="F241" s="6" t="s">
        <v>10</v>
      </c>
      <c r="G241" s="33" t="s">
        <v>169</v>
      </c>
    </row>
    <row r="242" spans="1:7" hidden="1" x14ac:dyDescent="0.25">
      <c r="A242" s="15" t="s">
        <v>6</v>
      </c>
      <c r="B242" s="37">
        <v>46021</v>
      </c>
      <c r="C242" s="6" t="s">
        <v>115</v>
      </c>
      <c r="D242" s="8">
        <v>4900</v>
      </c>
      <c r="E242" s="10" t="s">
        <v>7</v>
      </c>
      <c r="F242" s="6" t="s">
        <v>10</v>
      </c>
      <c r="G242" s="33" t="s">
        <v>169</v>
      </c>
    </row>
    <row r="243" spans="1:7" hidden="1" x14ac:dyDescent="0.25">
      <c r="A243" s="15" t="s">
        <v>6</v>
      </c>
      <c r="B243" s="37">
        <v>46021</v>
      </c>
      <c r="C243" s="6" t="s">
        <v>73</v>
      </c>
      <c r="D243" s="8">
        <v>11.8</v>
      </c>
      <c r="E243" s="31" t="s">
        <v>19</v>
      </c>
      <c r="F243" s="6" t="s">
        <v>64</v>
      </c>
      <c r="G243" s="33" t="s">
        <v>74</v>
      </c>
    </row>
    <row r="244" spans="1:7" ht="15.75" hidden="1" thickBot="1" x14ac:dyDescent="0.3">
      <c r="A244" s="16" t="s">
        <v>6</v>
      </c>
      <c r="B244" s="38">
        <v>46002</v>
      </c>
      <c r="C244" s="11" t="s">
        <v>71</v>
      </c>
      <c r="D244" s="12">
        <v>777446</v>
      </c>
      <c r="E244" s="31" t="s">
        <v>19</v>
      </c>
      <c r="F244" s="6" t="s">
        <v>13</v>
      </c>
      <c r="G244" s="34" t="s">
        <v>72</v>
      </c>
    </row>
  </sheetData>
  <autoFilter ref="A1:I244" xr:uid="{00000000-0009-0000-0000-000000000000}">
    <filterColumn colId="4">
      <filters>
        <filter val="Ad-Hoc"/>
      </filters>
    </filterColumn>
    <filterColumn colId="5">
      <filters>
        <filter val="Estate Managemen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>
      <selection activeCell="B23" sqref="B23"/>
    </sheetView>
  </sheetViews>
  <sheetFormatPr defaultRowHeight="15" x14ac:dyDescent="0.25"/>
  <cols>
    <col min="1" max="1" width="19.5703125" bestFit="1" customWidth="1"/>
    <col min="2" max="2" width="41.5703125" customWidth="1"/>
  </cols>
  <sheetData>
    <row r="1" spans="1:2" s="18" customFormat="1" x14ac:dyDescent="0.25">
      <c r="A1" s="18" t="s">
        <v>3</v>
      </c>
      <c r="B1" s="18" t="s">
        <v>75</v>
      </c>
    </row>
    <row r="2" spans="1:2" x14ac:dyDescent="0.25">
      <c r="A2" t="s">
        <v>8</v>
      </c>
      <c r="B2" s="19">
        <f>SUMIFS('Lead Sheet'!D:D,'Lead Sheet'!F:F,opex!A2)</f>
        <v>6838796.8740000008</v>
      </c>
    </row>
    <row r="3" spans="1:2" x14ac:dyDescent="0.25">
      <c r="A3" t="s">
        <v>10</v>
      </c>
      <c r="B3" s="17">
        <v>15000000</v>
      </c>
    </row>
    <row r="4" spans="1:2" x14ac:dyDescent="0.25">
      <c r="A4" t="s">
        <v>13</v>
      </c>
      <c r="B4" s="17">
        <f>SUMIFS('Lead Sheet'!D:D,'Lead Sheet'!F:F,opex!A4)</f>
        <v>3985808.45</v>
      </c>
    </row>
    <row r="5" spans="1:2" x14ac:dyDescent="0.25">
      <c r="A5" t="s">
        <v>22</v>
      </c>
      <c r="B5" s="17">
        <f>SUMIFS('Lead Sheet'!D:D,'Lead Sheet'!F:F,opex!A5)</f>
        <v>2026214.5499999998</v>
      </c>
    </row>
    <row r="6" spans="1:2" x14ac:dyDescent="0.25">
      <c r="A6" t="s">
        <v>25</v>
      </c>
      <c r="B6" s="17">
        <f>SUMIFS('Lead Sheet'!D:D,'Lead Sheet'!F:F,opex!A6)</f>
        <v>702874.85</v>
      </c>
    </row>
    <row r="7" spans="1:2" x14ac:dyDescent="0.25">
      <c r="A7" t="s">
        <v>37</v>
      </c>
      <c r="B7" s="17">
        <f>SUMIFS('Lead Sheet'!D:D,'Lead Sheet'!F:F,opex!A7)</f>
        <v>6774823.5</v>
      </c>
    </row>
    <row r="8" spans="1:2" x14ac:dyDescent="0.25">
      <c r="A8" t="s">
        <v>41</v>
      </c>
      <c r="B8" s="17">
        <f>SUMIFS('Lead Sheet'!D:D,'Lead Sheet'!F:F,opex!A8)</f>
        <v>2435722.56</v>
      </c>
    </row>
    <row r="9" spans="1:2" x14ac:dyDescent="0.25">
      <c r="A9" t="s">
        <v>46</v>
      </c>
      <c r="B9" s="17">
        <f>SUMIFS('Lead Sheet'!D:D,'Lead Sheet'!F:F,opex!A9)</f>
        <v>3098387.4200000004</v>
      </c>
    </row>
    <row r="10" spans="1:2" x14ac:dyDescent="0.25">
      <c r="A10" t="s">
        <v>64</v>
      </c>
      <c r="B10" s="17">
        <f>SUMIFS('Lead Sheet'!D:D,'Lead Sheet'!F:F,opex!A10)</f>
        <v>318239.23999999993</v>
      </c>
    </row>
    <row r="11" spans="1:2" x14ac:dyDescent="0.25">
      <c r="A11" t="s">
        <v>77</v>
      </c>
      <c r="B11" s="20">
        <v>98026761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workbookViewId="0">
      <selection activeCell="B27" sqref="B27"/>
    </sheetView>
  </sheetViews>
  <sheetFormatPr defaultRowHeight="15" x14ac:dyDescent="0.25"/>
  <cols>
    <col min="1" max="1" width="35.5703125" customWidth="1"/>
    <col min="2" max="2" width="30.5703125" bestFit="1" customWidth="1"/>
    <col min="3" max="3" width="11.140625" bestFit="1" customWidth="1"/>
  </cols>
  <sheetData>
    <row r="1" spans="1:3" x14ac:dyDescent="0.25">
      <c r="A1" s="21" t="s">
        <v>3</v>
      </c>
      <c r="B1" s="21" t="s">
        <v>75</v>
      </c>
    </row>
    <row r="2" spans="1:3" x14ac:dyDescent="0.25">
      <c r="A2" s="22" t="s">
        <v>47</v>
      </c>
      <c r="B2" s="23">
        <v>25000</v>
      </c>
      <c r="C2" s="17"/>
    </row>
    <row r="3" spans="1:3" x14ac:dyDescent="0.25">
      <c r="A3" s="22" t="s">
        <v>54</v>
      </c>
      <c r="B3" s="23">
        <v>25000</v>
      </c>
    </row>
    <row r="4" spans="1:3" x14ac:dyDescent="0.25">
      <c r="A4" s="22" t="s">
        <v>15</v>
      </c>
      <c r="B4" s="23">
        <v>25000</v>
      </c>
    </row>
    <row r="5" spans="1:3" x14ac:dyDescent="0.25">
      <c r="A5" s="22" t="s">
        <v>77</v>
      </c>
      <c r="B5" s="24">
        <v>750000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"/>
  <sheetViews>
    <sheetView showGridLines="0" workbookViewId="0">
      <selection activeCell="B2" sqref="B2"/>
    </sheetView>
  </sheetViews>
  <sheetFormatPr defaultRowHeight="15" x14ac:dyDescent="0.25"/>
  <cols>
    <col min="2" max="2" width="13" bestFit="1" customWidth="1"/>
    <col min="3" max="3" width="12.85546875" bestFit="1" customWidth="1"/>
    <col min="4" max="4" width="12.5703125" bestFit="1" customWidth="1"/>
    <col min="5" max="5" width="17.7109375" bestFit="1" customWidth="1"/>
    <col min="6" max="6" width="8.5703125" bestFit="1" customWidth="1"/>
    <col min="7" max="7" width="13.85546875" bestFit="1" customWidth="1"/>
    <col min="8" max="8" width="8.28515625" bestFit="1" customWidth="1"/>
  </cols>
  <sheetData>
    <row r="1" spans="2:8" ht="15.75" thickBot="1" x14ac:dyDescent="0.3"/>
    <row r="2" spans="2:8" ht="15.75" thickBot="1" x14ac:dyDescent="0.3">
      <c r="B2" s="14" t="s">
        <v>0</v>
      </c>
      <c r="C2" s="1" t="s">
        <v>1</v>
      </c>
      <c r="D2" s="2" t="s">
        <v>2</v>
      </c>
      <c r="E2" s="2" t="s">
        <v>4</v>
      </c>
      <c r="F2" s="2" t="s">
        <v>3</v>
      </c>
      <c r="G2" s="4" t="s">
        <v>5</v>
      </c>
      <c r="H2" s="3" t="s">
        <v>3</v>
      </c>
    </row>
    <row r="3" spans="2:8" ht="45" x14ac:dyDescent="0.25">
      <c r="B3" s="15" t="s">
        <v>6</v>
      </c>
      <c r="C3" s="5" t="s">
        <v>57</v>
      </c>
      <c r="D3" s="6" t="s">
        <v>61</v>
      </c>
      <c r="E3" s="8">
        <v>263190.74</v>
      </c>
      <c r="F3" s="10" t="s">
        <v>19</v>
      </c>
      <c r="G3" s="9" t="s">
        <v>8</v>
      </c>
      <c r="H3" s="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 Sheet</vt:lpstr>
      <vt:lpstr>opex</vt:lpstr>
      <vt:lpstr>Output -2</vt:lpstr>
      <vt:lpstr>Output 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Shetty</dc:creator>
  <cp:lastModifiedBy>NJ ಕನ್ನಡಿಗ</cp:lastModifiedBy>
  <dcterms:created xsi:type="dcterms:W3CDTF">2025-12-08T09:31:24Z</dcterms:created>
  <dcterms:modified xsi:type="dcterms:W3CDTF">2026-01-05T07:54:26Z</dcterms:modified>
</cp:coreProperties>
</file>