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618c472bf5a77c1/Documents/"/>
    </mc:Choice>
  </mc:AlternateContent>
  <xr:revisionPtr revIDLastSave="198" documentId="8_{A0168F95-CAB6-474D-82B1-BFABEC0BBC47}" xr6:coauthVersionLast="47" xr6:coauthVersionMax="47" xr10:uidLastSave="{EF3DC9FA-97DD-4A1B-BD9E-F8D37EA848FB}"/>
  <bookViews>
    <workbookView xWindow="-120" yWindow="-120" windowWidth="29040" windowHeight="15720" activeTab="2" xr2:uid="{8DC96814-FE7C-41EF-B652-F5A01EF26105}"/>
  </bookViews>
  <sheets>
    <sheet name="1. Maint Account" sheetId="1" r:id="rId1"/>
    <sheet name="Sheet1" sheetId="2" r:id="rId2"/>
    <sheet name="Sheet2" sheetId="3" r:id="rId3"/>
  </sheets>
  <definedNames>
    <definedName name="_xlnm._FilterDatabase" localSheetId="0" hidden="1">'1. Maint Account'!$B$1:$Q$248</definedName>
    <definedName name="_xlnm._FilterDatabase" localSheetId="2" hidden="1">Sheet2!$C$1:$C$96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L244" i="1"/>
  <c r="M244" i="1" s="1"/>
  <c r="L242" i="1"/>
  <c r="M242" i="1" s="1"/>
  <c r="L238" i="1"/>
  <c r="M238" i="1" s="1"/>
  <c r="L236" i="1"/>
  <c r="M236" i="1" s="1"/>
  <c r="O234" i="1"/>
  <c r="L234" i="1"/>
  <c r="M234" i="1" s="1"/>
  <c r="M233" i="1"/>
  <c r="O232" i="1"/>
  <c r="L232" i="1"/>
  <c r="M232" i="1" s="1"/>
  <c r="O231" i="1"/>
  <c r="L231" i="1"/>
  <c r="M231" i="1" s="1"/>
  <c r="L229" i="1"/>
  <c r="M229" i="1" s="1"/>
  <c r="O229" i="1" s="1"/>
  <c r="L227" i="1"/>
  <c r="M227" i="1" s="1"/>
  <c r="N226" i="1"/>
  <c r="L226" i="1"/>
  <c r="M226" i="1" s="1"/>
  <c r="N225" i="1"/>
  <c r="L225" i="1"/>
  <c r="M225" i="1" s="1"/>
  <c r="N224" i="1"/>
  <c r="L224" i="1"/>
  <c r="M224" i="1" s="1"/>
  <c r="L223" i="1"/>
  <c r="M223" i="1" s="1"/>
  <c r="L222" i="1"/>
  <c r="M222" i="1" s="1"/>
  <c r="L221" i="1"/>
  <c r="M221" i="1" s="1"/>
  <c r="L220" i="1"/>
  <c r="M220" i="1" s="1"/>
  <c r="M218" i="1"/>
  <c r="M217" i="1"/>
  <c r="L216" i="1"/>
  <c r="M216" i="1" s="1"/>
  <c r="O216" i="1" s="1"/>
  <c r="L215" i="1"/>
  <c r="M215" i="1" s="1"/>
  <c r="O215" i="1" s="1"/>
  <c r="L214" i="1"/>
  <c r="M214" i="1" s="1"/>
  <c r="O214" i="1" s="1"/>
  <c r="L213" i="1"/>
  <c r="M213" i="1" s="1"/>
  <c r="L212" i="1"/>
  <c r="M212" i="1" s="1"/>
  <c r="L211" i="1"/>
  <c r="M211" i="1" s="1"/>
  <c r="O211" i="1" s="1"/>
  <c r="L210" i="1"/>
  <c r="M210" i="1" s="1"/>
  <c r="O210" i="1" s="1"/>
  <c r="L209" i="1"/>
  <c r="M209" i="1" s="1"/>
  <c r="O209" i="1" s="1"/>
  <c r="N208" i="1"/>
  <c r="L208" i="1"/>
  <c r="M208" i="1" s="1"/>
  <c r="N207" i="1"/>
  <c r="L207" i="1"/>
  <c r="M207" i="1" s="1"/>
  <c r="N206" i="1"/>
  <c r="L206" i="1"/>
  <c r="M206" i="1" s="1"/>
  <c r="N205" i="1"/>
  <c r="L205" i="1"/>
  <c r="M205" i="1" s="1"/>
  <c r="N204" i="1"/>
  <c r="L204" i="1"/>
  <c r="M204" i="1" s="1"/>
  <c r="N203" i="1"/>
  <c r="L203" i="1"/>
  <c r="M203" i="1" s="1"/>
  <c r="N202" i="1"/>
  <c r="L202" i="1"/>
  <c r="M202" i="1" s="1"/>
  <c r="N201" i="1"/>
  <c r="L201" i="1"/>
  <c r="M201" i="1" s="1"/>
  <c r="N200" i="1"/>
  <c r="L200" i="1"/>
  <c r="M200" i="1" s="1"/>
  <c r="N199" i="1"/>
  <c r="L199" i="1"/>
  <c r="M199" i="1" s="1"/>
  <c r="N198" i="1"/>
  <c r="L198" i="1"/>
  <c r="M198" i="1" s="1"/>
  <c r="N197" i="1"/>
  <c r="L197" i="1"/>
  <c r="M197" i="1" s="1"/>
  <c r="N196" i="1"/>
  <c r="L196" i="1"/>
  <c r="M196" i="1" s="1"/>
  <c r="N195" i="1"/>
  <c r="L195" i="1"/>
  <c r="M195" i="1" s="1"/>
  <c r="N194" i="1"/>
  <c r="L194" i="1"/>
  <c r="M194" i="1" s="1"/>
  <c r="N193" i="1"/>
  <c r="L193" i="1"/>
  <c r="M193" i="1" s="1"/>
  <c r="M177" i="1"/>
  <c r="K177" i="1"/>
  <c r="N163" i="1"/>
  <c r="L163" i="1"/>
  <c r="M163" i="1" s="1"/>
  <c r="N162" i="1"/>
  <c r="L162" i="1"/>
  <c r="M162" i="1" s="1"/>
  <c r="N161" i="1"/>
  <c r="L161" i="1"/>
  <c r="M161" i="1" s="1"/>
  <c r="N160" i="1"/>
  <c r="L160" i="1"/>
  <c r="M160" i="1" s="1"/>
  <c r="N159" i="1"/>
  <c r="L159" i="1"/>
  <c r="M159" i="1" s="1"/>
  <c r="N158" i="1"/>
  <c r="L158" i="1"/>
  <c r="M158" i="1" s="1"/>
  <c r="N157" i="1"/>
  <c r="L157" i="1"/>
  <c r="M157" i="1" s="1"/>
  <c r="N156" i="1"/>
  <c r="L156" i="1"/>
  <c r="M156" i="1" s="1"/>
  <c r="N155" i="1"/>
  <c r="L155" i="1"/>
  <c r="M155" i="1" s="1"/>
  <c r="N154" i="1"/>
  <c r="L154" i="1"/>
  <c r="M154" i="1" s="1"/>
  <c r="N153" i="1"/>
  <c r="L153" i="1"/>
  <c r="M153" i="1" s="1"/>
  <c r="N152" i="1"/>
  <c r="L152" i="1"/>
  <c r="M152" i="1" s="1"/>
  <c r="N151" i="1"/>
  <c r="L151" i="1"/>
  <c r="M151" i="1" s="1"/>
  <c r="N150" i="1"/>
  <c r="L150" i="1"/>
  <c r="M150" i="1" s="1"/>
  <c r="N149" i="1"/>
  <c r="L149" i="1"/>
  <c r="M149" i="1" s="1"/>
  <c r="N148" i="1"/>
  <c r="L148" i="1"/>
  <c r="M148" i="1" s="1"/>
  <c r="M99" i="1"/>
  <c r="M98" i="1"/>
  <c r="M97" i="1"/>
  <c r="M96" i="1"/>
  <c r="N94" i="1"/>
  <c r="L94" i="1"/>
  <c r="M94" i="1" s="1"/>
  <c r="L93" i="1"/>
  <c r="M93" i="1" s="1"/>
  <c r="O90" i="1"/>
  <c r="N67" i="1"/>
  <c r="L67" i="1"/>
  <c r="M67" i="1" s="1"/>
  <c r="N66" i="1"/>
  <c r="L66" i="1"/>
  <c r="M66" i="1" s="1"/>
  <c r="N65" i="1"/>
  <c r="L65" i="1"/>
  <c r="M65" i="1" s="1"/>
  <c r="N64" i="1"/>
  <c r="L64" i="1"/>
  <c r="M64" i="1" s="1"/>
  <c r="N63" i="1"/>
  <c r="L63" i="1"/>
  <c r="M63" i="1" s="1"/>
  <c r="N62" i="1"/>
  <c r="L62" i="1"/>
  <c r="M62" i="1" s="1"/>
  <c r="N61" i="1"/>
  <c r="L61" i="1"/>
  <c r="M61" i="1" s="1"/>
  <c r="N60" i="1"/>
  <c r="L60" i="1"/>
  <c r="M60" i="1" s="1"/>
  <c r="N59" i="1"/>
  <c r="L59" i="1"/>
  <c r="M59" i="1" s="1"/>
  <c r="N58" i="1"/>
  <c r="L58" i="1"/>
  <c r="M58" i="1" s="1"/>
  <c r="N57" i="1"/>
  <c r="L57" i="1"/>
  <c r="M57" i="1" s="1"/>
  <c r="N56" i="1"/>
  <c r="L56" i="1"/>
  <c r="M56" i="1" s="1"/>
  <c r="N55" i="1"/>
  <c r="L55" i="1"/>
  <c r="M55" i="1" s="1"/>
  <c r="N54" i="1"/>
  <c r="L54" i="1"/>
  <c r="M54" i="1" s="1"/>
  <c r="N53" i="1"/>
  <c r="L53" i="1"/>
  <c r="M53" i="1" s="1"/>
  <c r="N30" i="1"/>
  <c r="O30" i="1" s="1"/>
  <c r="O29" i="1"/>
  <c r="O58" i="1" l="1"/>
  <c r="O64" i="1"/>
  <c r="O152" i="1"/>
  <c r="O158" i="1"/>
  <c r="O198" i="1"/>
  <c r="O204" i="1"/>
  <c r="O224" i="1"/>
  <c r="O60" i="1"/>
  <c r="O66" i="1"/>
  <c r="O154" i="1"/>
  <c r="O160" i="1"/>
  <c r="O194" i="1"/>
  <c r="O200" i="1"/>
  <c r="O206" i="1"/>
  <c r="O57" i="1"/>
  <c r="O63" i="1"/>
  <c r="O94" i="1"/>
  <c r="O157" i="1"/>
  <c r="O163" i="1"/>
  <c r="O197" i="1"/>
  <c r="O203" i="1"/>
  <c r="O56" i="1"/>
  <c r="O62" i="1"/>
  <c r="O150" i="1"/>
  <c r="O162" i="1"/>
  <c r="O196" i="1"/>
  <c r="O202" i="1"/>
  <c r="O208" i="1"/>
  <c r="O226" i="1"/>
  <c r="O53" i="1"/>
  <c r="O159" i="1"/>
  <c r="O193" i="1"/>
  <c r="O199" i="1"/>
  <c r="O205" i="1"/>
  <c r="O225" i="1"/>
  <c r="O54" i="1"/>
  <c r="O59" i="1"/>
  <c r="O61" i="1"/>
  <c r="O149" i="1"/>
  <c r="O155" i="1"/>
  <c r="O161" i="1"/>
  <c r="O55" i="1"/>
  <c r="O65" i="1"/>
  <c r="O151" i="1"/>
  <c r="O156" i="1"/>
  <c r="O195" i="1"/>
  <c r="O201" i="1"/>
  <c r="O207" i="1"/>
  <c r="O67" i="1"/>
  <c r="O148" i="1"/>
  <c r="O153" i="1"/>
</calcChain>
</file>

<file path=xl/sharedStrings.xml><?xml version="1.0" encoding="utf-8"?>
<sst xmlns="http://schemas.openxmlformats.org/spreadsheetml/2006/main" count="1906" uniqueCount="481">
  <si>
    <t>Sl.No</t>
  </si>
  <si>
    <t>Date of Invoice</t>
  </si>
  <si>
    <t>Invoice Number</t>
  </si>
  <si>
    <t>Payment Date</t>
  </si>
  <si>
    <t>Service Month</t>
  </si>
  <si>
    <t>Quarter</t>
  </si>
  <si>
    <t>Vendor Name</t>
  </si>
  <si>
    <t>Particulars</t>
  </si>
  <si>
    <t>Nature</t>
  </si>
  <si>
    <t>Taxable</t>
  </si>
  <si>
    <t>%</t>
  </si>
  <si>
    <t>Total</t>
  </si>
  <si>
    <t>TDS</t>
  </si>
  <si>
    <t>Net Paid</t>
  </si>
  <si>
    <t>Classification-1</t>
  </si>
  <si>
    <t>PI2534</t>
  </si>
  <si>
    <t>Elon Façade</t>
  </si>
  <si>
    <t>50% Advance, All tower glass windows cleaning, skydeck,clubhouse,lobbyclubhouse highglass inside</t>
  </si>
  <si>
    <t>Façade Cleaning</t>
  </si>
  <si>
    <t>Operating</t>
  </si>
  <si>
    <t>Estate Management</t>
  </si>
  <si>
    <t>Poonam Hardware &amp; Electricals</t>
  </si>
  <si>
    <t>20 oms switch,socket,box</t>
  </si>
  <si>
    <t>Electrical Items</t>
  </si>
  <si>
    <t>Ad-Hoc</t>
  </si>
  <si>
    <t>Electrical</t>
  </si>
  <si>
    <t>Pooja Electricals &amp;Light House</t>
  </si>
  <si>
    <t>silkwire,connector,</t>
  </si>
  <si>
    <t>Abu Fabrications</t>
  </si>
  <si>
    <t>G block ground floor broken glass</t>
  </si>
  <si>
    <t>Glass Repair&amp; Maint</t>
  </si>
  <si>
    <t>ClubHouse</t>
  </si>
  <si>
    <t>20/25-26</t>
  </si>
  <si>
    <t>3 S VENT TECH</t>
  </si>
  <si>
    <t>30% Advance Payment for,Manufacturing , supply,and installation of 3S STP acopustic panel for amber block</t>
  </si>
  <si>
    <t>STP-Acopustic Panel for Amber Block</t>
  </si>
  <si>
    <t>Capex</t>
  </si>
  <si>
    <t>Water &amp; Sewage</t>
  </si>
  <si>
    <t>19/25-26</t>
  </si>
  <si>
    <t>30% Advance Payment for,Manufaturing, Supply,and Installation of 3S STP+K370 Air Ventelation System</t>
  </si>
  <si>
    <t>STP- Fresh Air and Exhaust System Set</t>
  </si>
  <si>
    <t>QTN/YVT/1135/2025-26</t>
  </si>
  <si>
    <t>Yash Vacuum Technology</t>
  </si>
  <si>
    <t>80% Advance Payment,Bearing24 nos,oil seal30nos, oil seal bush24nos, piston bush24nos, piston ring72nos, gasket12nos,</t>
  </si>
  <si>
    <t xml:space="preserve">STP Blower Repairs </t>
  </si>
  <si>
    <t>Septron Machinaries</t>
  </si>
  <si>
    <t>Remaining Paymnet for,Floculation tank with agitator, Dewatering screw,flush water, poly dosing system</t>
  </si>
  <si>
    <t>Screw Press Machine for STP-Amber</t>
  </si>
  <si>
    <t>VS4-2025-26/693</t>
  </si>
  <si>
    <t>VS4</t>
  </si>
  <si>
    <t>Security officer,security supervisor,Head guard,Security Guard</t>
  </si>
  <si>
    <t>Security Management Fees</t>
  </si>
  <si>
    <t>Safety &amp; Security</t>
  </si>
  <si>
    <t>VS4-2025-26/694</t>
  </si>
  <si>
    <t>Fire officer, Service charge</t>
  </si>
  <si>
    <t>VS4-2025-26/695</t>
  </si>
  <si>
    <t>Security Guard,service charge</t>
  </si>
  <si>
    <t>Aqua Pure Technology</t>
  </si>
  <si>
    <t>250 Lph Ro Plant and SS Tank 250 Ltrs and other accessories</t>
  </si>
  <si>
    <t>RO-Water Plant</t>
  </si>
  <si>
    <t>IAC-17/249</t>
  </si>
  <si>
    <t>Think Thanx</t>
  </si>
  <si>
    <t>Fiber Cable, Fiber Media Convertor, Fiber Splicing Charger</t>
  </si>
  <si>
    <t>CCTV Accessories</t>
  </si>
  <si>
    <t>Urban Blossom</t>
  </si>
  <si>
    <t>Maintenance of landscaped garden for the month of August</t>
  </si>
  <si>
    <t>Garden Maintenance</t>
  </si>
  <si>
    <t>Landscaping and ERT</t>
  </si>
  <si>
    <t>44/25-26</t>
  </si>
  <si>
    <t>Sri Venkateshwara Enterprises</t>
  </si>
  <si>
    <t>Charges towards clearing garbage, dabries</t>
  </si>
  <si>
    <t>Garbage Collection</t>
  </si>
  <si>
    <t>Housekeeping &amp; Waste</t>
  </si>
  <si>
    <t>QUOTATION</t>
  </si>
  <si>
    <t>HR Constructions</t>
  </si>
  <si>
    <t>50% Advance Payment for, granite flooring work Black colour</t>
  </si>
  <si>
    <t>Common Area (Vendor Refunded)</t>
  </si>
  <si>
    <t>50% Advance Payment for, granite flooring work Red colour</t>
  </si>
  <si>
    <t>Removing of Existing damaged granite incl removing of mortar, cleaning and shifting of debries etc</t>
  </si>
  <si>
    <t>Sri Chandrashekar Enterprises</t>
  </si>
  <si>
    <t>DAP, Uriya, Bella</t>
  </si>
  <si>
    <t>STP &amp; WTP Consumeables</t>
  </si>
  <si>
    <t>N Ravindra</t>
  </si>
  <si>
    <t>Supply of Tanker Water September</t>
  </si>
  <si>
    <t>Supply of Water Tanker</t>
  </si>
  <si>
    <t>K25-143</t>
  </si>
  <si>
    <t>Karnataka Motors Rewinding Co</t>
  </si>
  <si>
    <t>20HP ABB Make Induction Blower Motor</t>
  </si>
  <si>
    <t xml:space="preserve">Motor Purchase </t>
  </si>
  <si>
    <t>Plumbing Items</t>
  </si>
  <si>
    <t>Plumbing Consumeables</t>
  </si>
  <si>
    <t>Sai Suchith Pest Control</t>
  </si>
  <si>
    <t>Pest Control Materials</t>
  </si>
  <si>
    <t xml:space="preserve">Pest Control materials </t>
  </si>
  <si>
    <t>Veer Sports Fitness</t>
  </si>
  <si>
    <t>New Carrom Board Set</t>
  </si>
  <si>
    <t>Carrom Board Set</t>
  </si>
  <si>
    <t>T Tape,E Tape</t>
  </si>
  <si>
    <t>Mesh,and other items</t>
  </si>
  <si>
    <t>0012/2025-2026</t>
  </si>
  <si>
    <t>Rachuu Smart Facility Services</t>
  </si>
  <si>
    <t>Bar screen chamber,Sand fitter pipe line</t>
  </si>
  <si>
    <t>Quotation</t>
  </si>
  <si>
    <t>S.V Power Tek Systems</t>
  </si>
  <si>
    <t>50% Advance Payment Supply of exide cloraide SMF Battery ,Leoch SMF Battery</t>
  </si>
  <si>
    <t>Lift/UPS Batteries</t>
  </si>
  <si>
    <t>Civil &amp; Lifts</t>
  </si>
  <si>
    <t>081/25-26</t>
  </si>
  <si>
    <t>Mukajjar Smarttech India</t>
  </si>
  <si>
    <t>Cleaning of base surface scraping,removing of rust</t>
  </si>
  <si>
    <t>Water Tank Cleaning</t>
  </si>
  <si>
    <t>D.M.&amp; Sons</t>
  </si>
  <si>
    <t>CH Diesel</t>
  </si>
  <si>
    <t>Diesel Purchased</t>
  </si>
  <si>
    <t>Clubhouse staircase safety glass fitting</t>
  </si>
  <si>
    <t>QTT/25-26/172</t>
  </si>
  <si>
    <t>Pasolite Electric Co</t>
  </si>
  <si>
    <t>15W Led Ora Round Panel WW</t>
  </si>
  <si>
    <t>AG/0779/25-26</t>
  </si>
  <si>
    <t>Asianet Groups</t>
  </si>
  <si>
    <t>Under Ground Sump and Overhead Tank Cleaning Services</t>
  </si>
  <si>
    <t>STP Tank Cleaning</t>
  </si>
  <si>
    <t>QTT/25-26/180</t>
  </si>
  <si>
    <t>3mtr Galileo pole Light, 70w LED elvis head Grey WW,12wLED grill foot Light WW</t>
  </si>
  <si>
    <t>SR Office Suppliers</t>
  </si>
  <si>
    <t>Floor cleaner,sanitizer,wheel powder, caustic soda,glasswiper,scoach bright,dust pan,gumboot,garbage bag</t>
  </si>
  <si>
    <t>Housekeeping Materials</t>
  </si>
  <si>
    <t>BESCOM</t>
  </si>
  <si>
    <t>BESCOM- Common Area September</t>
  </si>
  <si>
    <t>BESCOM Bills</t>
  </si>
  <si>
    <t>ICICI</t>
  </si>
  <si>
    <t xml:space="preserve">Bank Charges </t>
  </si>
  <si>
    <t>Ankya Advisors LLP</t>
  </si>
  <si>
    <t>Monthly Retainership Charges For Manpower Support, Professional Fee for September 25</t>
  </si>
  <si>
    <t>Accounting</t>
  </si>
  <si>
    <t>Finance</t>
  </si>
  <si>
    <t>Genex Utility &amp; Management</t>
  </si>
  <si>
    <t>Operation &amp; Maintenance Charges for the month Sept</t>
  </si>
  <si>
    <t>STP &amp; WTP Maint</t>
  </si>
  <si>
    <t>AHS/2025-26/975</t>
  </si>
  <si>
    <t>AHS Branding Solutions</t>
  </si>
  <si>
    <t>Remaining Payment for Signange board repair</t>
  </si>
  <si>
    <t>Signange Board Repair</t>
  </si>
  <si>
    <t>16/4 core cable alluminium,63/4 poll MCB box spn, 16.0sqmm copper Lux</t>
  </si>
  <si>
    <t>2.5aqmm wire havells reo, 20mmPvc pipe,20mmalbo black,20mmpvc J box,mcb box metal</t>
  </si>
  <si>
    <t>Pynodor,alphacypermrthrin10%,fogging gas can 220gm, rodent cake bnromadiolone,deltametherin fogging chemical</t>
  </si>
  <si>
    <t>INV-32</t>
  </si>
  <si>
    <t>Boundary Masters</t>
  </si>
  <si>
    <t>Remaining Payment For On Pre-cast Wall MS Angle with Razor wire &amp; coil</t>
  </si>
  <si>
    <t xml:space="preserve">Fencing of walls </t>
  </si>
  <si>
    <t>INV-31</t>
  </si>
  <si>
    <t>Remaining Payment For, Besides sports Area MS Angle with Razor wire &amp; coil</t>
  </si>
  <si>
    <t>INV-33</t>
  </si>
  <si>
    <t>Remaining Payment For, Crimson Pet Area MS Angle with Razor wire &amp; coil</t>
  </si>
  <si>
    <t>INV-30</t>
  </si>
  <si>
    <t>Remaining Payment For, East Gate Multipurpose Gate MS Angle with Razor wire &amp; coil</t>
  </si>
  <si>
    <t>INV-29</t>
  </si>
  <si>
    <t>Remaining Payment For, East Gate-South Gate MS Angle with Razor wire &amp; coil</t>
  </si>
  <si>
    <t>INV-35</t>
  </si>
  <si>
    <t>Extra work at MS Gates</t>
  </si>
  <si>
    <t>SVS/25-26/0216</t>
  </si>
  <si>
    <t>SVS 3D Pool Services</t>
  </si>
  <si>
    <t>Swimming Pool Maintenance</t>
  </si>
  <si>
    <t>Swimming Pool Maintainance</t>
  </si>
  <si>
    <t>IAC-17/234</t>
  </si>
  <si>
    <t>CCTV AMC</t>
  </si>
  <si>
    <t>CCTV Maint</t>
  </si>
  <si>
    <t>VR/OCT25-26/0875</t>
  </si>
  <si>
    <t>V R FACILITY SERVICES</t>
  </si>
  <si>
    <t>EM</t>
  </si>
  <si>
    <t>VRFS- Estate Management</t>
  </si>
  <si>
    <t>Technical Manager</t>
  </si>
  <si>
    <t>Store Executive</t>
  </si>
  <si>
    <t>Assistant Property Manager (Softservices)</t>
  </si>
  <si>
    <t>Helpdesk Exective</t>
  </si>
  <si>
    <t>Electricians</t>
  </si>
  <si>
    <t>VRFS- Electricians</t>
  </si>
  <si>
    <t>Sr. Plumbers</t>
  </si>
  <si>
    <t>VRFS- Plumbers</t>
  </si>
  <si>
    <t>Carpenter</t>
  </si>
  <si>
    <t>VRFS- Carpenters &amp; Multi Technician</t>
  </si>
  <si>
    <t>Multi Technician/ Handiman</t>
  </si>
  <si>
    <t>House Keeping Supervisor</t>
  </si>
  <si>
    <t>VRFS-Housekeeping Salary</t>
  </si>
  <si>
    <t>House Keepers</t>
  </si>
  <si>
    <t>Equipment Cost</t>
  </si>
  <si>
    <t>Swimming Pool</t>
  </si>
  <si>
    <t>VRFS-Clubhouse</t>
  </si>
  <si>
    <t>Clubhouse</t>
  </si>
  <si>
    <t>Pest Control Management</t>
  </si>
  <si>
    <t>Management Fee</t>
  </si>
  <si>
    <t>090/25-26</t>
  </si>
  <si>
    <t>Charges for soil digging and refilling.</t>
  </si>
  <si>
    <t>Misc.Garden Maintenance</t>
  </si>
  <si>
    <t>110mm pvc coller, head set, pipe etc.</t>
  </si>
  <si>
    <t>Sree Sai Ganesh Minerals</t>
  </si>
  <si>
    <t>20Lts water can</t>
  </si>
  <si>
    <t>Drinking Water Can</t>
  </si>
  <si>
    <t>S R Office Suppliers</t>
  </si>
  <si>
    <t>Brother Ink Cartrage, Natraj pen blue, jk sparkle, correction pen, doms pen blue, box file , white board marker</t>
  </si>
  <si>
    <t>Stationary Items Purchased</t>
  </si>
  <si>
    <t>15 feet long pipe</t>
  </si>
  <si>
    <t>3/4 box, 3/4 clip,pvc</t>
  </si>
  <si>
    <t>KLKA2526-10052</t>
  </si>
  <si>
    <t>Kre38 Labs Pvt Ltd</t>
  </si>
  <si>
    <t>Waltr A Monthly Subscription</t>
  </si>
  <si>
    <t>Waltr A subscription</t>
  </si>
  <si>
    <t>22/25-26</t>
  </si>
  <si>
    <t>Extra Work for Exhaust System for STP plant</t>
  </si>
  <si>
    <t>STP- Exhaust System Purchase</t>
  </si>
  <si>
    <t>Manufacturing, Supply and Installation of 3S STP Air Ventilation System for Blue Block</t>
  </si>
  <si>
    <t>STP- Blue Block Ventillation System</t>
  </si>
  <si>
    <t>50pc pipe, collar, pipe, 12 screw</t>
  </si>
  <si>
    <t>surya pop, water pipe,</t>
  </si>
  <si>
    <t>Remaining 10 % Payment for,Manufaturing, Supply,and Installation of 3S STP+K370 Air Ventelation System</t>
  </si>
  <si>
    <t>AG/0859/25-26</t>
  </si>
  <si>
    <t>Revamping Of STP Tanks</t>
  </si>
  <si>
    <t>AG/0858/25-26</t>
  </si>
  <si>
    <t>STP Tanks Cleaning, Liquid sludge removal and manual mud removal</t>
  </si>
  <si>
    <t>K25-162</t>
  </si>
  <si>
    <t>MS casing pipe, collar</t>
  </si>
  <si>
    <t>Motor Repair</t>
  </si>
  <si>
    <t>K25-161</t>
  </si>
  <si>
    <t>7.5 HP 75 Stage borewell pump motor</t>
  </si>
  <si>
    <t>Motor Purchase</t>
  </si>
  <si>
    <t>Sunshine Eco Tech Services</t>
  </si>
  <si>
    <t>50%Advance Payment for, 50mm black granite</t>
  </si>
  <si>
    <t>CH-Granite Purchase</t>
  </si>
  <si>
    <t>50%Advance Payment for,50mm red granite</t>
  </si>
  <si>
    <t>50%Advance Payment for, black granite 25 sqft, red granite 25sqft</t>
  </si>
  <si>
    <t>3mm Tape, Cable, Plumbing necessaries for RO</t>
  </si>
  <si>
    <t>Pooja Electricals &amp; Light House</t>
  </si>
  <si>
    <t>40stand silkwire, Taparia screw driver, Taparia cutting Plyer Tep roll</t>
  </si>
  <si>
    <t>Sri Sai Enterprises</t>
  </si>
  <si>
    <t>16x4core armored aluminium cable,6x4 armored copper cable, 100 amps 4 pole MCCB, 63AMPS 4 POLE MCB</t>
  </si>
  <si>
    <t>PTI202526-22376</t>
  </si>
  <si>
    <t>Parivom Technologies Pvt Ltd</t>
  </si>
  <si>
    <t>Park+ Services</t>
  </si>
  <si>
    <t>Park-Plus</t>
  </si>
  <si>
    <t>IAC-17/258</t>
  </si>
  <si>
    <t>Digisol cat6 cable 305 mtrs</t>
  </si>
  <si>
    <t>50% Advance Payment for 1M3/hr Multi Disc Screw press model, pump with 1 HP Motor, agiator with gear box</t>
  </si>
  <si>
    <t>Screw Press Machine for STP-Crimson</t>
  </si>
  <si>
    <t>ATEE ENTERPRISES</t>
  </si>
  <si>
    <t>Advance Payment for Squash Court wall Chipping and repair</t>
  </si>
  <si>
    <t>Squash Court Repair</t>
  </si>
  <si>
    <t>23/25-26</t>
  </si>
  <si>
    <t>Timer Fixing Charges for STP Ventilation System</t>
  </si>
  <si>
    <t>Ridhi Sidhi Hardware &amp; Electricals</t>
  </si>
  <si>
    <t>Painting Materials</t>
  </si>
  <si>
    <t>Painting of Parking Area</t>
  </si>
  <si>
    <t>QTT/25-26/200</t>
  </si>
  <si>
    <t>200W LED Sipro Flood Light + Lens WW</t>
  </si>
  <si>
    <t>74/2025-26</t>
  </si>
  <si>
    <t>Remaing 50% Payment for, 50mm black granite</t>
  </si>
  <si>
    <t>75/2025-26</t>
  </si>
  <si>
    <t>Remaing 50% Payment for, 50mm Red granite</t>
  </si>
  <si>
    <t>76/2025-26</t>
  </si>
  <si>
    <t>Remaing 50% Payment for, black granite 25 sqft, red granite 25sqft</t>
  </si>
  <si>
    <t>KR/O/2505545</t>
  </si>
  <si>
    <t>OTIS</t>
  </si>
  <si>
    <t xml:space="preserve">Maintenance charges for the lift	
</t>
  </si>
  <si>
    <t>OTIS- Lift Maint</t>
  </si>
  <si>
    <t>KR/O/2505544</t>
  </si>
  <si>
    <t xml:space="preserve">Maintenance charges for the lift        
</t>
  </si>
  <si>
    <t>KR/O/2505525</t>
  </si>
  <si>
    <t>KR/O/2505526</t>
  </si>
  <si>
    <t>PE/25-26/5115</t>
  </si>
  <si>
    <t xml:space="preserve">9W LED Under Water Light RGB, Foundation Set.	
</t>
  </si>
  <si>
    <t>PE/25-26/5073</t>
  </si>
  <si>
    <t>40W, 40v 1000MA Driver, 10MM X595MM dAYLEhANGING PCB,50W LED Clean room cw 1*4,9W LED Under Water Light RGB</t>
  </si>
  <si>
    <t>PE/25-26/5065</t>
  </si>
  <si>
    <t>200W led Sipro flood light + lens Cw</t>
  </si>
  <si>
    <t>Paint Materials</t>
  </si>
  <si>
    <t>53/25-26</t>
  </si>
  <si>
    <t>Garbage Disposal</t>
  </si>
  <si>
    <t>SLPS2025-26-177</t>
  </si>
  <si>
    <t>Sri Lakshmi Power Service</t>
  </si>
  <si>
    <t>VDS LUB OIL , Long Llife oil filter fuel filter, filter insert, coolant5ltr,valvoline lub oil, consumables, fuel water seprater</t>
  </si>
  <si>
    <t>DG Consumeables</t>
  </si>
  <si>
    <t>6/2025-2026</t>
  </si>
  <si>
    <t>EME Tech</t>
  </si>
  <si>
    <t>20% Payment for, cleaning surface by patty blade and emery paper</t>
  </si>
  <si>
    <t>VSC, Civil, Painting &amp; Waterproofing Works</t>
  </si>
  <si>
    <t>SI/25-26/201912</t>
  </si>
  <si>
    <t>Neri</t>
  </si>
  <si>
    <t>100w External driver</t>
  </si>
  <si>
    <t>Painting materials</t>
  </si>
  <si>
    <t>SVS/25-26/0251</t>
  </si>
  <si>
    <t>SVS-3D-Swimming Pool Manit</t>
  </si>
  <si>
    <t>water proofing Liquid 5ltr</t>
  </si>
  <si>
    <t>painting Materials</t>
  </si>
  <si>
    <t>20mm Hbit,3/4 blave pipe</t>
  </si>
  <si>
    <t>20L water Can</t>
  </si>
  <si>
    <t>44 pvchbov, 4pvc collargun 118we</t>
  </si>
  <si>
    <t>Remaining 20%Payment for,Bearing24 nos,oil seal30nos, oil seal bush24nos, piston bush24nos, piston ring72nos, gasket12nos,</t>
  </si>
  <si>
    <t>AMH Services</t>
  </si>
  <si>
    <t>Toshiba VRF outdoor unit jet service, Refrigerant gas service, cassette AC Indoor Unit Service</t>
  </si>
  <si>
    <t>AC Servicing</t>
  </si>
  <si>
    <t>IAC-17/269</t>
  </si>
  <si>
    <t>CCTV AMC Charges for the Month of OCT 2025</t>
  </si>
  <si>
    <t>CCTV Manit</t>
  </si>
  <si>
    <t>Civil work Materials</t>
  </si>
  <si>
    <t>Misc. Civil Works</t>
  </si>
  <si>
    <t>Mess (net)Pigeow</t>
  </si>
  <si>
    <t>60% Advance Payment for, Manufacturing, Supply &amp; Installation of south gate front C chanel drainage railing work</t>
  </si>
  <si>
    <t>South Gate Drainage Railing work</t>
  </si>
  <si>
    <t>Jasvanth Singh Nursery</t>
  </si>
  <si>
    <t>Gardening &amp; Landscaping Materials</t>
  </si>
  <si>
    <t>VS4-2025-26/771</t>
  </si>
  <si>
    <t>Security officer,security supervisor,Head guard,Security Guard, Lady guard, cctv operator, service charge</t>
  </si>
  <si>
    <t>VS4-2025-26/773</t>
  </si>
  <si>
    <t>Fire Officer &amp; Service Charge for the month october</t>
  </si>
  <si>
    <t>VS4-2025-26/772</t>
  </si>
  <si>
    <t>Security Guard &amp; service charge for the month october</t>
  </si>
  <si>
    <t>IV2518</t>
  </si>
  <si>
    <t>Elon Facade</t>
  </si>
  <si>
    <t>Strip Light Removing inside Amber, Blue, &amp; Crimson Block</t>
  </si>
  <si>
    <t>Strip Light Removal</t>
  </si>
  <si>
    <t>SV5355/25-26</t>
  </si>
  <si>
    <t>Remaining Payment for, exide Smf battery cs7-12v</t>
  </si>
  <si>
    <t>SV5858/25-26</t>
  </si>
  <si>
    <t>Remaining Payment for, LP12-5.4 Lift Battery</t>
  </si>
  <si>
    <t>TH/2025-26/1889</t>
  </si>
  <si>
    <t>Trident Holdings</t>
  </si>
  <si>
    <t>USG Perimeter chnnel ST50</t>
  </si>
  <si>
    <t>TH/2025-26/1888</t>
  </si>
  <si>
    <t>Armgyp Gypsum Dew Drops 2*2, Armstrong Wall Angle-10'</t>
  </si>
  <si>
    <t>Red Soil</t>
  </si>
  <si>
    <t>Vishwakarma Engeering</t>
  </si>
  <si>
    <t>MS samp welding, with Material</t>
  </si>
  <si>
    <t>Mild Steel (MS) Welding for Pole Lights</t>
  </si>
  <si>
    <t>Arrow Interiors</t>
  </si>
  <si>
    <t>Execution of Interior work</t>
  </si>
  <si>
    <t>Cutter, 4" weel, 16mm Luf, 1pvc collor, 1 pvc fmt</t>
  </si>
  <si>
    <t>2.5sqmm 3 core copper cable polycab, 3/4inch Pvc pipe heavy black,pvc bend, pvc coller</t>
  </si>
  <si>
    <t>TH/2025-26/1884</t>
  </si>
  <si>
    <t>USG boral Gypsum board, screw-25mm, Joint Tape Roll, Pop bags</t>
  </si>
  <si>
    <t>SriGaneshAutoElectrical&amp;BatteryWorks</t>
  </si>
  <si>
    <t>50% Advance Payment for, Purchasing Exide Battery &amp; Exide UPS &amp; Battery</t>
  </si>
  <si>
    <t>Operation &amp; Maintenance Charges for the month october 2025</t>
  </si>
  <si>
    <t>STP/WTP Manit</t>
  </si>
  <si>
    <t>3" Butterfly valve, vrv valve , nut bolt</t>
  </si>
  <si>
    <t>0085/2025/26</t>
  </si>
  <si>
    <t>Supply of PH test Kit, supply of chlorine, rubber &amp; hand gloves hand wash, blower oil 320, pump oil, cotton waste</t>
  </si>
  <si>
    <t>Swimming Pool Consumables</t>
  </si>
  <si>
    <t>KLKA2526-11015</t>
  </si>
  <si>
    <t>Water Level Meters</t>
  </si>
  <si>
    <t>Maintenance of Landscaped Garden for the month of sept25</t>
  </si>
  <si>
    <t>Vishal Infotech</t>
  </si>
  <si>
    <t>TVS Label printer LP 46 Neo,Laser Scanner,HS-65 HHT device</t>
  </si>
  <si>
    <t>Label Printer</t>
  </si>
  <si>
    <t>Maintenance of Landscaped Garden for the month of Oct25</t>
  </si>
  <si>
    <t>Gardening &amp; Landscaping Management fees</t>
  </si>
  <si>
    <t>VR/NOV25-26/1054</t>
  </si>
  <si>
    <t>Temporary Mason</t>
  </si>
  <si>
    <t>VRFS-Swimming Pool Manit</t>
  </si>
  <si>
    <t>Management Fees</t>
  </si>
  <si>
    <t>Monthly Retainership Charges For Manpower Support, Professional Fee for October 25</t>
  </si>
  <si>
    <t>Bookkeeping Services</t>
  </si>
  <si>
    <t>Blaze Design Tech</t>
  </si>
  <si>
    <t>Supply and installation of GI pipe, forged fitting,accessories (Hose Clamp, Nut Bolts, Gasket)</t>
  </si>
  <si>
    <t>STP-Plumbing Items</t>
  </si>
  <si>
    <t>Supply of 80mm Butterfly val`ve with Accessories &amp; Installation of the same</t>
  </si>
  <si>
    <t>AMBER BLOCK &amp; BLUE BLOCK Purchase of Butterfly valve, air pressure gauge, NRV, saftey Valve</t>
  </si>
  <si>
    <t>STP-Butterfly valve with Accessories</t>
  </si>
  <si>
    <t>Purchase of Gear wheel &amp; Blower Pulley for Amber &amp; Blue Block</t>
  </si>
  <si>
    <t>STP-Gear wheel &amp; Blower Pulley</t>
  </si>
  <si>
    <t>Remaining Payment for, Purchasing Exide Battery &amp; Exide UPS &amp; Battery, Drive 180R, MGST 1000</t>
  </si>
  <si>
    <t>Treadmill-Roller new bearing, incline motor repairing,hyper extension bench</t>
  </si>
  <si>
    <t>Treadmill Repairs</t>
  </si>
  <si>
    <t>Imported hex dumbeels 10kg,12.5kg,15kg, Imported multi bench hercules</t>
  </si>
  <si>
    <t>Dumbells for Gym</t>
  </si>
  <si>
    <t>PE/25-26/5394</t>
  </si>
  <si>
    <t>3Mtr Galileo pole light, 70w LED Elvis Head grey WW</t>
  </si>
  <si>
    <t>IV2519</t>
  </si>
  <si>
    <t>Remaining Payment for All Tower Glass window Cleaning, Clubhouse, Lobby, clubhouse highglass inside</t>
  </si>
  <si>
    <t>Ganesh Enterprises</t>
  </si>
  <si>
    <t>Advance 50% Payment for Steel supply and Barbending work</t>
  </si>
  <si>
    <t>Cemented Road Work - Near West Gate</t>
  </si>
  <si>
    <t>Advance 50% Supply of Ready Mix M-25 Grade Concrete For Road Work</t>
  </si>
  <si>
    <t>Advance 50% Labour Charge and Finish Grove Cutting Charge</t>
  </si>
  <si>
    <t>BESCOM- Common Area October</t>
  </si>
  <si>
    <t>Bank Charges</t>
  </si>
  <si>
    <t>Santosh Kumar IS</t>
  </si>
  <si>
    <t>Tipper Load red soil Supply</t>
  </si>
  <si>
    <t>Nehal Enterprises</t>
  </si>
  <si>
    <t>Supply of Industrial 4way box 3 sockets &amp; MCB Cutout, Industrial socket single phase 16 amps, 32 Amps Pole MCB</t>
  </si>
  <si>
    <t>27/25-26</t>
  </si>
  <si>
    <t>Remaining 40% Payment for South Gate Drainage Railing work</t>
  </si>
  <si>
    <t>Pynodor,alphacypermrthrin 10%, fogging gas can 220gm, rodent cake bnromadiolone, deltametherin fogging chemical</t>
  </si>
  <si>
    <t>250mm Exhaust Fan Crompton</t>
  </si>
  <si>
    <t>Tractore Load Manure Supply</t>
  </si>
  <si>
    <t>28/25-26</t>
  </si>
  <si>
    <t>Advance 30% Payment, Manufacturing, Supply and Installation of 3S STP Air Ventilation System for Blue Block</t>
  </si>
  <si>
    <t>TOYS &amp; SPORTS</t>
  </si>
  <si>
    <t>FRP Board with ring &amp; net, Transportation &amp; fitting Charges</t>
  </si>
  <si>
    <t>Basketball Court Net &amp; Ring</t>
  </si>
  <si>
    <t>Purchase of House Keeping Materials</t>
  </si>
  <si>
    <t>Housekeeping Materials Purchases</t>
  </si>
  <si>
    <t>NE/3389</t>
  </si>
  <si>
    <t>National Electricals</t>
  </si>
  <si>
    <t>15w Led fazer Neo- Havells</t>
  </si>
  <si>
    <t>VS4-2025-26/889</t>
  </si>
  <si>
    <t>Security officer,security supervisor,Head guard,Security Guard, Lady Security guard, cctv operator, service charge</t>
  </si>
  <si>
    <t>VS4-2025-26/891</t>
  </si>
  <si>
    <t>VS4-2025-26/890</t>
  </si>
  <si>
    <t>2 1/2, Butterfly Valve</t>
  </si>
  <si>
    <t>VR/NOV25-26/1155</t>
  </si>
  <si>
    <t>SVS/25-26/0284</t>
  </si>
  <si>
    <t>62/25-26</t>
  </si>
  <si>
    <t>Charges towards Cleaning Garbage for the month November2025</t>
  </si>
  <si>
    <t>Book Keeping Charges for the Month November 2025</t>
  </si>
  <si>
    <t>25-26/CR14299</t>
  </si>
  <si>
    <t>Balance GST Payment for the Purchase of TVS Label Printer, Laser Scanner, HHT Device</t>
  </si>
  <si>
    <t xml:space="preserve">Septron Machinaries </t>
  </si>
  <si>
    <t xml:space="preserve">Screw Press System for Crimson </t>
  </si>
  <si>
    <t>Operation and Maintenance Charges for the Month November2025</t>
  </si>
  <si>
    <t>KLKA2526-12018</t>
  </si>
  <si>
    <t>Push Button for Barrier</t>
  </si>
  <si>
    <t>Park-plus Services</t>
  </si>
  <si>
    <t>Madeena Nursery</t>
  </si>
  <si>
    <t>Purchase of Lemonia Plants for Amber Block</t>
  </si>
  <si>
    <t xml:space="preserve">Purchase of Plants </t>
  </si>
  <si>
    <t>Remaining 50% Payment for Steel supply and Barbending work</t>
  </si>
  <si>
    <t xml:space="preserve">Remaining 50% Supply of Ready Mix M-25 Grade Concrete For Road Work </t>
  </si>
  <si>
    <t>Remaining 50% Labour Charge and Finish Grove Cutting Charge</t>
  </si>
  <si>
    <t>VR/MAY25-26/0144</t>
  </si>
  <si>
    <t>Management Fee for the Month April</t>
  </si>
  <si>
    <t>INV/25-26/038</t>
  </si>
  <si>
    <t>Neo Goal Vault Fintech PVT LTD</t>
  </si>
  <si>
    <t xml:space="preserve">Advance Payment for zoho implementation&amp;Training&amp;Support </t>
  </si>
  <si>
    <t xml:space="preserve">Subscription for Zoho - Inventory </t>
  </si>
  <si>
    <t>Maintenance of Landascaped Garden For Nov25</t>
  </si>
  <si>
    <t>IAC-17/315</t>
  </si>
  <si>
    <t>CCTV AMC Charges for the month Nov25</t>
  </si>
  <si>
    <t>Advance Payment for squash Court wall chipping and repair</t>
  </si>
  <si>
    <t>SLVP</t>
  </si>
  <si>
    <t>Tipper Load Red soil Supply, Tractore Load Manure Supply</t>
  </si>
  <si>
    <t>IAC-17/262</t>
  </si>
  <si>
    <t>Cable laying Charges, 19mmPVC Black wall Pipes, Accessroies</t>
  </si>
  <si>
    <t>Painting materials for STP</t>
  </si>
  <si>
    <t>SLV BATTERY POINT</t>
  </si>
  <si>
    <t xml:space="preserve">Exide Battrey for UPS 50% Payment </t>
  </si>
  <si>
    <t>S Rani</t>
  </si>
  <si>
    <t>Milk Charges for the month October</t>
  </si>
  <si>
    <t>Purchase Of Milk</t>
  </si>
  <si>
    <t>Krupa Tiles Links LLP</t>
  </si>
  <si>
    <t>VIVE SC LAV FAUCET WO DRAIN (Tap QTY 3)</t>
  </si>
  <si>
    <t>Purchase of Tap</t>
  </si>
  <si>
    <t>PIPE ROLL FOR CIVIL WORK</t>
  </si>
  <si>
    <t>AE/065/25-26</t>
  </si>
  <si>
    <t>Remaining Payment for squash Court wall chipping and repair</t>
  </si>
  <si>
    <t>Milk Charges for the month November</t>
  </si>
  <si>
    <t>IAC-17/349</t>
  </si>
  <si>
    <t>Purchase of TP-Link CPE610 Outdoor 23bdi</t>
  </si>
  <si>
    <t>Bhavani Hardware</t>
  </si>
  <si>
    <t>15cm Upin  Equipment</t>
  </si>
  <si>
    <t>Purchase of Upin for Pet Area</t>
  </si>
  <si>
    <t>Gunjal Trupti( Tenant)</t>
  </si>
  <si>
    <t>REFUND of rent</t>
  </si>
  <si>
    <t xml:space="preserve">Rent Refund </t>
  </si>
  <si>
    <t xml:space="preserve">Electricals Items </t>
  </si>
  <si>
    <t xml:space="preserve">Purchase of M Sand </t>
  </si>
  <si>
    <t>Purchase of M Sand</t>
  </si>
  <si>
    <t xml:space="preserve">Balance GST Amount TAP Purchase </t>
  </si>
  <si>
    <t>BESCOM- Common Area November</t>
  </si>
  <si>
    <t>Q3</t>
  </si>
  <si>
    <t>Q2</t>
  </si>
  <si>
    <t>Classification</t>
  </si>
  <si>
    <t>Amount</t>
  </si>
  <si>
    <t>Q4</t>
  </si>
  <si>
    <t>Q1</t>
  </si>
  <si>
    <t>Landscaping &amp; ERT</t>
  </si>
  <si>
    <t>Finance &amp; Accounts</t>
  </si>
  <si>
    <t xml:space="preserve">Lift Battery </t>
  </si>
  <si>
    <t>UPS Battery</t>
  </si>
  <si>
    <t>Amphitheatre</t>
  </si>
  <si>
    <t>Purcahse of Battery</t>
  </si>
  <si>
    <t>total</t>
  </si>
  <si>
    <t>Total Expense 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</si>
</sst>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92D050"/>
      </patternFill>
    </fill>
    <fill>
      <patternFill patternType="solid">
        <fgColor rgb="FFC0E6F5"/>
        <bgColor rgb="FF0000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29">
    <xf numFmtId="0" fontId="0" fillId="0" borderId="0" xfId="0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wrapText="1"/>
    </xf>
    <xf numFmtId="15" fontId="2" fillId="3" borderId="2" xfId="0" applyNumberFormat="1" applyFont="1" applyFill="1" applyBorder="1" applyAlignment="1">
      <alignment horizontal="right" wrapText="1"/>
    </xf>
    <xf numFmtId="0" fontId="2" fillId="3" borderId="2" xfId="0" applyFont="1" applyFill="1" applyBorder="1" applyAlignment="1">
      <alignment horizontal="left" wrapText="1"/>
    </xf>
    <xf numFmtId="3" fontId="2" fillId="3" borderId="2" xfId="0" applyNumberFormat="1" applyFont="1" applyFill="1" applyBorder="1" applyAlignment="1">
      <alignment horizontal="right" wrapText="1"/>
    </xf>
    <xf numFmtId="0" fontId="2" fillId="3" borderId="2" xfId="0" applyFont="1" applyFill="1" applyBorder="1"/>
    <xf numFmtId="0" fontId="2" fillId="3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5" fontId="1" fillId="2" borderId="5" xfId="0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 wrapText="1"/>
    </xf>
    <xf numFmtId="164" fontId="1" fillId="2" borderId="5" xfId="0" applyNumberFormat="1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15" fontId="0" fillId="0" borderId="0" xfId="0" applyNumberFormat="1"/>
    <xf numFmtId="15" fontId="2" fillId="3" borderId="2" xfId="0" applyNumberFormat="1" applyFont="1" applyFill="1" applyBorder="1" applyAlignment="1">
      <alignment wrapText="1"/>
    </xf>
    <xf numFmtId="0" fontId="0" fillId="4" borderId="0" xfId="0" applyFill="1"/>
    <xf numFmtId="0" fontId="1" fillId="5" borderId="5" xfId="0" applyFont="1" applyFill="1" applyBorder="1" applyAlignment="1">
      <alignment horizontal="center"/>
    </xf>
    <xf numFmtId="17" fontId="3" fillId="4" borderId="2" xfId="0" applyNumberFormat="1" applyFont="1" applyFill="1" applyBorder="1" applyAlignment="1">
      <alignment horizontal="right" vertical="center" wrapText="1"/>
    </xf>
    <xf numFmtId="164" fontId="2" fillId="4" borderId="2" xfId="0" applyNumberFormat="1" applyFont="1" applyFill="1" applyBorder="1"/>
    <xf numFmtId="0" fontId="5" fillId="0" borderId="0" xfId="0" applyFont="1"/>
    <xf numFmtId="0" fontId="7" fillId="0" borderId="0" xfId="0" applyFont="1"/>
    <xf numFmtId="0" fontId="8" fillId="0" borderId="0" xfId="0" applyFont="1"/>
    <xf numFmtId="164" fontId="7" fillId="6" borderId="0" xfId="0" applyNumberFormat="1" applyFont="1" applyFill="1"/>
    <xf numFmtId="0" fontId="0" fillId="0" borderId="0" xfId="1" applyNumberFormat="1" applyFont="1"/>
    <xf numFmtId="3" fontId="8" fillId="0" borderId="0" xfId="0" applyNumberFormat="1" applyFont="1"/>
    <xf numFmtId="2" fontId="5" fillId="0" borderId="0" xfId="0" applyNumberFormat="1" applyFont="1"/>
    <xf numFmtId="2" fontId="0" fillId="0" borderId="0" xfId="1" applyNumberFormat="1" applyFont="1"/>
    <xf numFmtId="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63B82-856A-43DA-AEE9-C05B520A21B4}">
  <dimension ref="B1:Q248"/>
  <sheetViews>
    <sheetView showGridLines="0" topLeftCell="J1" workbookViewId="0">
      <selection activeCell="M5" sqref="M5"/>
    </sheetView>
  </sheetViews>
  <sheetFormatPr defaultRowHeight="15" x14ac:dyDescent="0.25"/>
  <cols>
    <col min="1" max="1" width="2.140625" customWidth="1"/>
    <col min="2" max="2" width="5.85546875" bestFit="1" customWidth="1"/>
    <col min="3" max="3" width="14" style="14" bestFit="1" customWidth="1"/>
    <col min="4" max="4" width="17.5703125" bestFit="1" customWidth="1"/>
    <col min="5" max="5" width="12.85546875" bestFit="1" customWidth="1"/>
    <col min="6" max="6" width="13.42578125" style="16" bestFit="1" customWidth="1"/>
    <col min="7" max="7" width="12.5703125" style="16" bestFit="1" customWidth="1"/>
    <col min="8" max="8" width="33.85546875" bestFit="1" customWidth="1"/>
    <col min="9" max="9" width="103.85546875" bestFit="1" customWidth="1"/>
    <col min="10" max="10" width="36.5703125" bestFit="1" customWidth="1"/>
    <col min="11" max="11" width="24.28515625" customWidth="1"/>
    <col min="12" max="12" width="8.85546875" bestFit="1" customWidth="1"/>
    <col min="13" max="13" width="24.140625" customWidth="1"/>
    <col min="14" max="14" width="9.85546875" bestFit="1" customWidth="1"/>
    <col min="15" max="15" width="8.85546875" bestFit="1" customWidth="1"/>
    <col min="16" max="16" width="21.85546875" customWidth="1"/>
    <col min="17" max="17" width="19.85546875" bestFit="1" customWidth="1"/>
  </cols>
  <sheetData>
    <row r="1" spans="2:17" ht="15.75" thickBot="1" x14ac:dyDescent="0.3">
      <c r="B1" s="8" t="s">
        <v>0</v>
      </c>
      <c r="C1" s="10" t="s">
        <v>1</v>
      </c>
      <c r="D1" s="9" t="s">
        <v>2</v>
      </c>
      <c r="E1" s="10" t="s">
        <v>3</v>
      </c>
      <c r="F1" s="17" t="s">
        <v>4</v>
      </c>
      <c r="G1" s="17" t="s">
        <v>5</v>
      </c>
      <c r="H1" s="9" t="s">
        <v>6</v>
      </c>
      <c r="I1" s="11" t="s">
        <v>7</v>
      </c>
      <c r="J1" s="11" t="s">
        <v>14</v>
      </c>
      <c r="K1" s="12" t="s">
        <v>9</v>
      </c>
      <c r="L1" s="12" t="s">
        <v>10</v>
      </c>
      <c r="M1" s="12" t="s">
        <v>480</v>
      </c>
      <c r="N1" s="9" t="s">
        <v>12</v>
      </c>
      <c r="O1" s="9" t="s">
        <v>13</v>
      </c>
      <c r="P1" s="9" t="s">
        <v>8</v>
      </c>
      <c r="Q1" s="13" t="s">
        <v>469</v>
      </c>
    </row>
    <row r="2" spans="2:17" x14ac:dyDescent="0.25">
      <c r="B2" s="1">
        <v>1</v>
      </c>
      <c r="C2" s="15">
        <v>45933</v>
      </c>
      <c r="D2" s="2" t="s">
        <v>15</v>
      </c>
      <c r="E2" s="3">
        <v>45938</v>
      </c>
      <c r="F2" s="18">
        <v>45931</v>
      </c>
      <c r="G2" s="19" t="s">
        <v>467</v>
      </c>
      <c r="H2" s="2" t="s">
        <v>16</v>
      </c>
      <c r="I2" s="2" t="s">
        <v>17</v>
      </c>
      <c r="J2" s="4" t="s">
        <v>18</v>
      </c>
      <c r="K2" s="5">
        <v>200325</v>
      </c>
      <c r="L2" s="5">
        <v>36059</v>
      </c>
      <c r="M2" s="5">
        <v>236384</v>
      </c>
      <c r="N2" s="5">
        <v>2003</v>
      </c>
      <c r="O2" s="5">
        <v>98159</v>
      </c>
      <c r="P2" s="6" t="s">
        <v>19</v>
      </c>
      <c r="Q2" s="7" t="s">
        <v>20</v>
      </c>
    </row>
    <row r="3" spans="2:17" x14ac:dyDescent="0.25">
      <c r="B3" s="1">
        <f>B2+1</f>
        <v>2</v>
      </c>
      <c r="C3" s="15">
        <v>45928</v>
      </c>
      <c r="D3" s="2">
        <v>1</v>
      </c>
      <c r="E3" s="3">
        <v>45938</v>
      </c>
      <c r="F3" s="18">
        <v>45931</v>
      </c>
      <c r="G3" s="19" t="s">
        <v>467</v>
      </c>
      <c r="H3" s="2" t="s">
        <v>21</v>
      </c>
      <c r="I3" s="2" t="s">
        <v>22</v>
      </c>
      <c r="J3" s="4" t="s">
        <v>23</v>
      </c>
      <c r="K3" s="5">
        <v>12360</v>
      </c>
      <c r="L3" s="5"/>
      <c r="M3" s="5">
        <v>12360</v>
      </c>
      <c r="N3" s="5"/>
      <c r="O3" s="5">
        <v>12360</v>
      </c>
      <c r="P3" s="6" t="s">
        <v>24</v>
      </c>
      <c r="Q3" s="7" t="s">
        <v>25</v>
      </c>
    </row>
    <row r="4" spans="2:17" x14ac:dyDescent="0.25">
      <c r="B4" s="1">
        <f t="shared" ref="B4:B67" si="0">B3+1</f>
        <v>3</v>
      </c>
      <c r="C4" s="15">
        <v>45927</v>
      </c>
      <c r="D4" s="2">
        <v>1</v>
      </c>
      <c r="E4" s="3">
        <v>45955</v>
      </c>
      <c r="F4" s="18">
        <v>45931</v>
      </c>
      <c r="G4" s="19" t="s">
        <v>467</v>
      </c>
      <c r="H4" s="2" t="s">
        <v>26</v>
      </c>
      <c r="I4" s="2" t="s">
        <v>27</v>
      </c>
      <c r="J4" s="4" t="s">
        <v>23</v>
      </c>
      <c r="K4" s="5">
        <v>3210</v>
      </c>
      <c r="L4" s="5"/>
      <c r="M4" s="5">
        <v>3210</v>
      </c>
      <c r="N4" s="5"/>
      <c r="O4" s="5">
        <v>3210</v>
      </c>
      <c r="P4" s="6" t="s">
        <v>24</v>
      </c>
      <c r="Q4" s="7" t="s">
        <v>25</v>
      </c>
    </row>
    <row r="5" spans="2:17" x14ac:dyDescent="0.25">
      <c r="B5" s="1">
        <f t="shared" si="0"/>
        <v>4</v>
      </c>
      <c r="C5" s="15"/>
      <c r="D5" s="2"/>
      <c r="E5" s="3">
        <v>45938</v>
      </c>
      <c r="F5" s="18">
        <v>45931</v>
      </c>
      <c r="G5" s="19" t="s">
        <v>467</v>
      </c>
      <c r="H5" s="2" t="s">
        <v>28</v>
      </c>
      <c r="I5" s="2" t="s">
        <v>29</v>
      </c>
      <c r="J5" s="4" t="s">
        <v>30</v>
      </c>
      <c r="K5" s="5">
        <v>6000</v>
      </c>
      <c r="L5" s="5"/>
      <c r="M5" s="5">
        <v>6000</v>
      </c>
      <c r="N5" s="5"/>
      <c r="O5" s="5">
        <v>6000</v>
      </c>
      <c r="P5" s="6" t="s">
        <v>24</v>
      </c>
      <c r="Q5" s="7" t="s">
        <v>31</v>
      </c>
    </row>
    <row r="6" spans="2:17" x14ac:dyDescent="0.25">
      <c r="B6" s="1">
        <f t="shared" si="0"/>
        <v>5</v>
      </c>
      <c r="C6" s="15">
        <v>45933</v>
      </c>
      <c r="D6" s="2" t="s">
        <v>32</v>
      </c>
      <c r="E6" s="3">
        <v>45940</v>
      </c>
      <c r="F6" s="18">
        <v>45931</v>
      </c>
      <c r="G6" s="19" t="s">
        <v>467</v>
      </c>
      <c r="H6" s="2" t="s">
        <v>33</v>
      </c>
      <c r="I6" s="2" t="s">
        <v>34</v>
      </c>
      <c r="J6" s="4" t="s">
        <v>35</v>
      </c>
      <c r="K6" s="5">
        <v>447745</v>
      </c>
      <c r="L6" s="5">
        <v>80594</v>
      </c>
      <c r="M6" s="5">
        <v>528339</v>
      </c>
      <c r="N6" s="5"/>
      <c r="O6" s="5">
        <v>134324</v>
      </c>
      <c r="P6" s="6" t="s">
        <v>36</v>
      </c>
      <c r="Q6" s="7" t="s">
        <v>37</v>
      </c>
    </row>
    <row r="7" spans="2:17" x14ac:dyDescent="0.25">
      <c r="B7" s="1">
        <f t="shared" si="0"/>
        <v>6</v>
      </c>
      <c r="C7" s="15">
        <v>45933</v>
      </c>
      <c r="D7" s="2" t="s">
        <v>38</v>
      </c>
      <c r="E7" s="3">
        <v>45940</v>
      </c>
      <c r="F7" s="18">
        <v>45931</v>
      </c>
      <c r="G7" s="19" t="s">
        <v>467</v>
      </c>
      <c r="H7" s="2" t="s">
        <v>33</v>
      </c>
      <c r="I7" s="2" t="s">
        <v>39</v>
      </c>
      <c r="J7" s="4" t="s">
        <v>40</v>
      </c>
      <c r="K7" s="5">
        <v>791475</v>
      </c>
      <c r="L7" s="5">
        <v>142466</v>
      </c>
      <c r="M7" s="5">
        <v>933941</v>
      </c>
      <c r="N7" s="5"/>
      <c r="O7" s="5">
        <v>237443</v>
      </c>
      <c r="P7" s="6" t="s">
        <v>36</v>
      </c>
      <c r="Q7" s="7" t="s">
        <v>37</v>
      </c>
    </row>
    <row r="8" spans="2:17" ht="30" x14ac:dyDescent="0.25">
      <c r="B8" s="1">
        <f t="shared" si="0"/>
        <v>7</v>
      </c>
      <c r="C8" s="15">
        <v>45940</v>
      </c>
      <c r="D8" s="2" t="s">
        <v>41</v>
      </c>
      <c r="E8" s="3">
        <v>45942</v>
      </c>
      <c r="F8" s="18">
        <v>45931</v>
      </c>
      <c r="G8" s="19" t="s">
        <v>467</v>
      </c>
      <c r="H8" s="2" t="s">
        <v>42</v>
      </c>
      <c r="I8" s="2" t="s">
        <v>43</v>
      </c>
      <c r="J8" s="4" t="s">
        <v>44</v>
      </c>
      <c r="K8" s="5">
        <v>349800</v>
      </c>
      <c r="L8" s="5">
        <v>62964</v>
      </c>
      <c r="M8" s="5">
        <v>412764</v>
      </c>
      <c r="N8" s="5">
        <v>3498</v>
      </c>
      <c r="O8" s="5">
        <v>276342</v>
      </c>
      <c r="P8" s="6" t="s">
        <v>24</v>
      </c>
      <c r="Q8" s="7" t="s">
        <v>37</v>
      </c>
    </row>
    <row r="9" spans="2:17" x14ac:dyDescent="0.25">
      <c r="B9" s="1">
        <f t="shared" si="0"/>
        <v>8</v>
      </c>
      <c r="C9" s="15">
        <v>45939</v>
      </c>
      <c r="D9" s="2">
        <v>7</v>
      </c>
      <c r="E9" s="3">
        <v>45942</v>
      </c>
      <c r="F9" s="18">
        <v>45931</v>
      </c>
      <c r="G9" s="19" t="s">
        <v>467</v>
      </c>
      <c r="H9" s="2" t="s">
        <v>45</v>
      </c>
      <c r="I9" s="2" t="s">
        <v>46</v>
      </c>
      <c r="J9" s="4" t="s">
        <v>47</v>
      </c>
      <c r="K9" s="5">
        <v>505000</v>
      </c>
      <c r="L9" s="5">
        <v>90900</v>
      </c>
      <c r="M9" s="5">
        <v>595900</v>
      </c>
      <c r="N9" s="5">
        <v>10100</v>
      </c>
      <c r="O9" s="5">
        <v>333300</v>
      </c>
      <c r="P9" s="6" t="s">
        <v>36</v>
      </c>
      <c r="Q9" s="7" t="s">
        <v>37</v>
      </c>
    </row>
    <row r="10" spans="2:17" x14ac:dyDescent="0.25">
      <c r="B10" s="1">
        <f t="shared" si="0"/>
        <v>9</v>
      </c>
      <c r="C10" s="15">
        <v>45936</v>
      </c>
      <c r="D10" s="2" t="s">
        <v>48</v>
      </c>
      <c r="E10" s="3">
        <v>45945</v>
      </c>
      <c r="F10" s="18">
        <v>45901</v>
      </c>
      <c r="G10" s="19" t="s">
        <v>468</v>
      </c>
      <c r="H10" s="2" t="s">
        <v>49</v>
      </c>
      <c r="I10" s="2" t="s">
        <v>50</v>
      </c>
      <c r="J10" s="4" t="s">
        <v>51</v>
      </c>
      <c r="K10" s="5">
        <v>1646567</v>
      </c>
      <c r="L10" s="5">
        <v>296382</v>
      </c>
      <c r="M10" s="5">
        <v>1942949</v>
      </c>
      <c r="N10" s="5">
        <v>32931</v>
      </c>
      <c r="O10" s="5">
        <v>1910017</v>
      </c>
      <c r="P10" s="6" t="s">
        <v>19</v>
      </c>
      <c r="Q10" s="7" t="s">
        <v>52</v>
      </c>
    </row>
    <row r="11" spans="2:17" x14ac:dyDescent="0.25">
      <c r="B11" s="1">
        <f t="shared" si="0"/>
        <v>10</v>
      </c>
      <c r="C11" s="15">
        <v>45936</v>
      </c>
      <c r="D11" s="2" t="s">
        <v>53</v>
      </c>
      <c r="E11" s="3">
        <v>45942</v>
      </c>
      <c r="F11" s="18">
        <v>45901</v>
      </c>
      <c r="G11" s="19" t="s">
        <v>468</v>
      </c>
      <c r="H11" s="2" t="s">
        <v>49</v>
      </c>
      <c r="I11" s="2" t="s">
        <v>54</v>
      </c>
      <c r="J11" s="4" t="s">
        <v>51</v>
      </c>
      <c r="K11" s="5">
        <v>43411</v>
      </c>
      <c r="L11" s="5">
        <v>7814</v>
      </c>
      <c r="M11" s="5">
        <v>51225</v>
      </c>
      <c r="N11" s="5">
        <v>868</v>
      </c>
      <c r="O11" s="5">
        <v>50357</v>
      </c>
      <c r="P11" s="6" t="s">
        <v>19</v>
      </c>
      <c r="Q11" s="7" t="s">
        <v>52</v>
      </c>
    </row>
    <row r="12" spans="2:17" x14ac:dyDescent="0.25">
      <c r="B12" s="1">
        <f t="shared" si="0"/>
        <v>11</v>
      </c>
      <c r="C12" s="15">
        <v>45936</v>
      </c>
      <c r="D12" s="2" t="s">
        <v>55</v>
      </c>
      <c r="E12" s="3">
        <v>45942</v>
      </c>
      <c r="F12" s="18">
        <v>45901</v>
      </c>
      <c r="G12" s="19" t="s">
        <v>468</v>
      </c>
      <c r="H12" s="2" t="s">
        <v>49</v>
      </c>
      <c r="I12" s="2" t="s">
        <v>56</v>
      </c>
      <c r="J12" s="4" t="s">
        <v>51</v>
      </c>
      <c r="K12" s="5">
        <v>161644</v>
      </c>
      <c r="L12" s="5">
        <v>29096</v>
      </c>
      <c r="M12" s="5">
        <v>190739</v>
      </c>
      <c r="N12" s="5">
        <v>3233</v>
      </c>
      <c r="O12" s="5">
        <v>187507</v>
      </c>
      <c r="P12" s="6" t="s">
        <v>19</v>
      </c>
      <c r="Q12" s="7" t="s">
        <v>52</v>
      </c>
    </row>
    <row r="13" spans="2:17" x14ac:dyDescent="0.25">
      <c r="B13" s="1">
        <f t="shared" si="0"/>
        <v>12</v>
      </c>
      <c r="C13" s="15">
        <v>45936</v>
      </c>
      <c r="D13" s="2">
        <v>59</v>
      </c>
      <c r="E13" s="3">
        <v>45942</v>
      </c>
      <c r="F13" s="18">
        <v>45931</v>
      </c>
      <c r="G13" s="19" t="s">
        <v>467</v>
      </c>
      <c r="H13" s="2" t="s">
        <v>57</v>
      </c>
      <c r="I13" s="2" t="s">
        <v>58</v>
      </c>
      <c r="J13" s="4" t="s">
        <v>59</v>
      </c>
      <c r="K13" s="5">
        <v>95000</v>
      </c>
      <c r="L13" s="5">
        <v>17100</v>
      </c>
      <c r="M13" s="5">
        <v>112100</v>
      </c>
      <c r="N13" s="5"/>
      <c r="O13" s="5">
        <v>112100</v>
      </c>
      <c r="P13" s="6" t="s">
        <v>36</v>
      </c>
      <c r="Q13" s="7" t="s">
        <v>37</v>
      </c>
    </row>
    <row r="14" spans="2:17" x14ac:dyDescent="0.25">
      <c r="B14" s="1">
        <f t="shared" si="0"/>
        <v>13</v>
      </c>
      <c r="C14" s="15">
        <v>45936</v>
      </c>
      <c r="D14" s="2" t="s">
        <v>60</v>
      </c>
      <c r="E14" s="3">
        <v>45942</v>
      </c>
      <c r="F14" s="18">
        <v>45931</v>
      </c>
      <c r="G14" s="19" t="s">
        <v>467</v>
      </c>
      <c r="H14" s="2" t="s">
        <v>61</v>
      </c>
      <c r="I14" s="2" t="s">
        <v>62</v>
      </c>
      <c r="J14" s="4" t="s">
        <v>63</v>
      </c>
      <c r="K14" s="5">
        <v>16330</v>
      </c>
      <c r="L14" s="5">
        <v>2939</v>
      </c>
      <c r="M14" s="5">
        <v>19269</v>
      </c>
      <c r="N14" s="5">
        <v>163</v>
      </c>
      <c r="O14" s="5">
        <v>19106</v>
      </c>
      <c r="P14" s="6" t="s">
        <v>24</v>
      </c>
      <c r="Q14" s="7" t="s">
        <v>52</v>
      </c>
    </row>
    <row r="15" spans="2:17" x14ac:dyDescent="0.25">
      <c r="B15" s="1">
        <f t="shared" si="0"/>
        <v>14</v>
      </c>
      <c r="C15" s="15">
        <v>45936</v>
      </c>
      <c r="D15" s="2">
        <v>33</v>
      </c>
      <c r="E15" s="3">
        <v>45942</v>
      </c>
      <c r="F15" s="18">
        <v>45870</v>
      </c>
      <c r="G15" s="19" t="s">
        <v>468</v>
      </c>
      <c r="H15" s="2" t="s">
        <v>64</v>
      </c>
      <c r="I15" s="2" t="s">
        <v>65</v>
      </c>
      <c r="J15" s="4" t="s">
        <v>66</v>
      </c>
      <c r="K15" s="5">
        <v>448767</v>
      </c>
      <c r="L15" s="5">
        <v>80778</v>
      </c>
      <c r="M15" s="5">
        <v>529545</v>
      </c>
      <c r="N15" s="5">
        <v>4488</v>
      </c>
      <c r="O15" s="5">
        <v>525057</v>
      </c>
      <c r="P15" s="6" t="s">
        <v>19</v>
      </c>
      <c r="Q15" s="7" t="s">
        <v>67</v>
      </c>
    </row>
    <row r="16" spans="2:17" x14ac:dyDescent="0.25">
      <c r="B16" s="1">
        <f t="shared" si="0"/>
        <v>15</v>
      </c>
      <c r="C16" s="15">
        <v>45931</v>
      </c>
      <c r="D16" s="2" t="s">
        <v>68</v>
      </c>
      <c r="E16" s="3">
        <v>45942</v>
      </c>
      <c r="F16" s="18">
        <v>45931</v>
      </c>
      <c r="G16" s="19" t="s">
        <v>468</v>
      </c>
      <c r="H16" s="2" t="s">
        <v>69</v>
      </c>
      <c r="I16" s="2" t="s">
        <v>70</v>
      </c>
      <c r="J16" s="4" t="s">
        <v>71</v>
      </c>
      <c r="K16" s="5">
        <v>106000</v>
      </c>
      <c r="L16" s="5">
        <v>19080</v>
      </c>
      <c r="M16" s="5">
        <v>125080</v>
      </c>
      <c r="N16" s="5">
        <v>1060</v>
      </c>
      <c r="O16" s="5">
        <v>124020</v>
      </c>
      <c r="P16" s="6" t="s">
        <v>19</v>
      </c>
      <c r="Q16" s="7" t="s">
        <v>72</v>
      </c>
    </row>
    <row r="17" spans="2:17" x14ac:dyDescent="0.25">
      <c r="B17" s="1">
        <f t="shared" si="0"/>
        <v>16</v>
      </c>
      <c r="C17" s="15">
        <v>45940</v>
      </c>
      <c r="D17" s="2" t="s">
        <v>73</v>
      </c>
      <c r="E17" s="3">
        <v>45944</v>
      </c>
      <c r="F17" s="18">
        <v>45931</v>
      </c>
      <c r="G17" s="19" t="s">
        <v>467</v>
      </c>
      <c r="H17" s="2" t="s">
        <v>74</v>
      </c>
      <c r="I17" s="2" t="s">
        <v>75</v>
      </c>
      <c r="J17" s="4" t="s">
        <v>76</v>
      </c>
      <c r="K17" s="5">
        <v>43000</v>
      </c>
      <c r="L17" s="5">
        <v>7740</v>
      </c>
      <c r="M17" s="5">
        <v>50740</v>
      </c>
      <c r="N17" s="5">
        <v>430</v>
      </c>
      <c r="O17" s="5">
        <v>21070</v>
      </c>
      <c r="P17" s="6"/>
      <c r="Q17" s="7"/>
    </row>
    <row r="18" spans="2:17" x14ac:dyDescent="0.25">
      <c r="B18" s="1">
        <f t="shared" si="0"/>
        <v>17</v>
      </c>
      <c r="C18" s="15">
        <v>45940</v>
      </c>
      <c r="D18" s="2" t="s">
        <v>73</v>
      </c>
      <c r="E18" s="3">
        <v>45944</v>
      </c>
      <c r="F18" s="18">
        <v>45931</v>
      </c>
      <c r="G18" s="19" t="s">
        <v>467</v>
      </c>
      <c r="H18" s="2" t="s">
        <v>74</v>
      </c>
      <c r="I18" s="2" t="s">
        <v>77</v>
      </c>
      <c r="J18" s="4" t="s">
        <v>76</v>
      </c>
      <c r="K18" s="5">
        <v>43000</v>
      </c>
      <c r="L18" s="5">
        <v>7740</v>
      </c>
      <c r="M18" s="5">
        <v>50740</v>
      </c>
      <c r="N18" s="5">
        <v>430</v>
      </c>
      <c r="O18" s="5">
        <v>21070</v>
      </c>
      <c r="P18" s="6"/>
      <c r="Q18" s="7"/>
    </row>
    <row r="19" spans="2:17" x14ac:dyDescent="0.25">
      <c r="B19" s="1">
        <f t="shared" si="0"/>
        <v>18</v>
      </c>
      <c r="C19" s="15">
        <v>45940</v>
      </c>
      <c r="D19" s="2" t="s">
        <v>73</v>
      </c>
      <c r="E19" s="3">
        <v>45944</v>
      </c>
      <c r="F19" s="18">
        <v>45931</v>
      </c>
      <c r="G19" s="19" t="s">
        <v>467</v>
      </c>
      <c r="H19" s="2" t="s">
        <v>74</v>
      </c>
      <c r="I19" s="2" t="s">
        <v>78</v>
      </c>
      <c r="J19" s="4" t="s">
        <v>76</v>
      </c>
      <c r="K19" s="5">
        <v>10000</v>
      </c>
      <c r="L19" s="5">
        <v>1800</v>
      </c>
      <c r="M19" s="5">
        <v>11800</v>
      </c>
      <c r="N19" s="5">
        <v>100</v>
      </c>
      <c r="O19" s="5">
        <v>4900</v>
      </c>
      <c r="P19" s="6"/>
      <c r="Q19" s="7"/>
    </row>
    <row r="20" spans="2:17" x14ac:dyDescent="0.25">
      <c r="B20" s="1">
        <f t="shared" si="0"/>
        <v>19</v>
      </c>
      <c r="C20" s="15">
        <v>45934</v>
      </c>
      <c r="D20" s="2">
        <v>5874</v>
      </c>
      <c r="E20" s="3">
        <v>45944</v>
      </c>
      <c r="F20" s="18">
        <v>45931</v>
      </c>
      <c r="G20" s="19" t="s">
        <v>467</v>
      </c>
      <c r="H20" s="2" t="s">
        <v>79</v>
      </c>
      <c r="I20" s="2" t="s">
        <v>80</v>
      </c>
      <c r="J20" s="4" t="s">
        <v>81</v>
      </c>
      <c r="K20" s="5">
        <v>8625</v>
      </c>
      <c r="L20" s="5"/>
      <c r="M20" s="5">
        <v>8625</v>
      </c>
      <c r="N20" s="5"/>
      <c r="O20" s="5">
        <v>8625</v>
      </c>
      <c r="P20" s="6" t="s">
        <v>24</v>
      </c>
      <c r="Q20" s="7" t="s">
        <v>37</v>
      </c>
    </row>
    <row r="21" spans="2:17" x14ac:dyDescent="0.25">
      <c r="B21" s="1">
        <f t="shared" si="0"/>
        <v>20</v>
      </c>
      <c r="C21" s="15">
        <v>45924</v>
      </c>
      <c r="D21" s="2">
        <v>10</v>
      </c>
      <c r="E21" s="3">
        <v>45936</v>
      </c>
      <c r="F21" s="18">
        <v>45931</v>
      </c>
      <c r="G21" s="19" t="s">
        <v>468</v>
      </c>
      <c r="H21" s="2" t="s">
        <v>82</v>
      </c>
      <c r="I21" s="2" t="s">
        <v>83</v>
      </c>
      <c r="J21" s="4" t="s">
        <v>84</v>
      </c>
      <c r="K21" s="5">
        <v>53500</v>
      </c>
      <c r="L21" s="5"/>
      <c r="M21" s="5">
        <v>53500</v>
      </c>
      <c r="N21" s="5"/>
      <c r="O21" s="5">
        <v>53500</v>
      </c>
      <c r="P21" s="6" t="s">
        <v>19</v>
      </c>
      <c r="Q21" s="7" t="s">
        <v>37</v>
      </c>
    </row>
    <row r="22" spans="2:17" x14ac:dyDescent="0.25">
      <c r="B22" s="1">
        <f t="shared" si="0"/>
        <v>21</v>
      </c>
      <c r="C22" s="15">
        <v>45923</v>
      </c>
      <c r="D22" s="2" t="s">
        <v>85</v>
      </c>
      <c r="E22" s="3">
        <v>45936</v>
      </c>
      <c r="F22" s="18">
        <v>45931</v>
      </c>
      <c r="G22" s="19" t="s">
        <v>467</v>
      </c>
      <c r="H22" s="2" t="s">
        <v>86</v>
      </c>
      <c r="I22" s="2" t="s">
        <v>87</v>
      </c>
      <c r="J22" s="4" t="s">
        <v>88</v>
      </c>
      <c r="K22" s="5">
        <v>19900</v>
      </c>
      <c r="L22" s="5">
        <v>3582</v>
      </c>
      <c r="M22" s="5">
        <v>23482</v>
      </c>
      <c r="N22" s="5"/>
      <c r="O22" s="5">
        <v>23482</v>
      </c>
      <c r="P22" s="6" t="s">
        <v>36</v>
      </c>
      <c r="Q22" s="7" t="s">
        <v>37</v>
      </c>
    </row>
    <row r="23" spans="2:17" x14ac:dyDescent="0.25">
      <c r="B23" s="1">
        <f t="shared" si="0"/>
        <v>22</v>
      </c>
      <c r="C23" s="15">
        <v>45923</v>
      </c>
      <c r="D23" s="2">
        <v>1</v>
      </c>
      <c r="E23" s="3">
        <v>45936</v>
      </c>
      <c r="F23" s="18">
        <v>45931</v>
      </c>
      <c r="G23" s="19" t="s">
        <v>467</v>
      </c>
      <c r="H23" s="2" t="s">
        <v>21</v>
      </c>
      <c r="I23" s="2" t="s">
        <v>89</v>
      </c>
      <c r="J23" s="4" t="s">
        <v>90</v>
      </c>
      <c r="K23" s="5">
        <v>5430</v>
      </c>
      <c r="L23" s="5"/>
      <c r="M23" s="5">
        <v>5430</v>
      </c>
      <c r="N23" s="5"/>
      <c r="O23" s="5">
        <v>5430</v>
      </c>
      <c r="P23" s="6" t="s">
        <v>24</v>
      </c>
      <c r="Q23" s="7" t="s">
        <v>37</v>
      </c>
    </row>
    <row r="24" spans="2:17" x14ac:dyDescent="0.25">
      <c r="B24" s="1">
        <f t="shared" si="0"/>
        <v>23</v>
      </c>
      <c r="C24" s="15">
        <v>45917</v>
      </c>
      <c r="D24" s="2">
        <v>21009</v>
      </c>
      <c r="E24" s="3">
        <v>45936</v>
      </c>
      <c r="F24" s="18">
        <v>45931</v>
      </c>
      <c r="G24" s="19" t="s">
        <v>467</v>
      </c>
      <c r="H24" s="2" t="s">
        <v>91</v>
      </c>
      <c r="I24" s="2" t="s">
        <v>92</v>
      </c>
      <c r="J24" s="4" t="s">
        <v>93</v>
      </c>
      <c r="K24" s="5">
        <v>19150</v>
      </c>
      <c r="L24" s="5">
        <v>3447</v>
      </c>
      <c r="M24" s="5">
        <v>22597</v>
      </c>
      <c r="N24" s="5"/>
      <c r="O24" s="5">
        <v>22597</v>
      </c>
      <c r="P24" s="6" t="s">
        <v>24</v>
      </c>
      <c r="Q24" s="7" t="s">
        <v>72</v>
      </c>
    </row>
    <row r="25" spans="2:17" x14ac:dyDescent="0.25">
      <c r="B25" s="1">
        <f t="shared" si="0"/>
        <v>24</v>
      </c>
      <c r="C25" s="15">
        <v>45917</v>
      </c>
      <c r="D25" s="2">
        <v>1098</v>
      </c>
      <c r="E25" s="3">
        <v>45936</v>
      </c>
      <c r="F25" s="18">
        <v>45931</v>
      </c>
      <c r="G25" s="19" t="s">
        <v>467</v>
      </c>
      <c r="H25" s="2" t="s">
        <v>94</v>
      </c>
      <c r="I25" s="2" t="s">
        <v>95</v>
      </c>
      <c r="J25" s="4" t="s">
        <v>96</v>
      </c>
      <c r="K25" s="5">
        <v>12000</v>
      </c>
      <c r="L25" s="5">
        <v>2160</v>
      </c>
      <c r="M25" s="5">
        <v>14160</v>
      </c>
      <c r="N25" s="5"/>
      <c r="O25" s="5">
        <v>14160</v>
      </c>
      <c r="P25" s="6" t="s">
        <v>24</v>
      </c>
      <c r="Q25" s="7" t="s">
        <v>31</v>
      </c>
    </row>
    <row r="26" spans="2:17" x14ac:dyDescent="0.25">
      <c r="B26" s="1">
        <f t="shared" si="0"/>
        <v>25</v>
      </c>
      <c r="C26" s="15">
        <v>45926</v>
      </c>
      <c r="D26" s="2">
        <v>1</v>
      </c>
      <c r="E26" s="3">
        <v>45936</v>
      </c>
      <c r="F26" s="18">
        <v>45931</v>
      </c>
      <c r="G26" s="19" t="s">
        <v>467</v>
      </c>
      <c r="H26" s="2" t="s">
        <v>21</v>
      </c>
      <c r="I26" s="2" t="s">
        <v>97</v>
      </c>
      <c r="J26" s="4" t="s">
        <v>23</v>
      </c>
      <c r="K26" s="5">
        <v>2450</v>
      </c>
      <c r="L26" s="5"/>
      <c r="M26" s="5"/>
      <c r="N26" s="5"/>
      <c r="O26" s="5">
        <v>2450</v>
      </c>
      <c r="P26" s="6" t="s">
        <v>24</v>
      </c>
      <c r="Q26" s="7" t="s">
        <v>25</v>
      </c>
    </row>
    <row r="27" spans="2:17" x14ac:dyDescent="0.25">
      <c r="B27" s="1">
        <f t="shared" si="0"/>
        <v>26</v>
      </c>
      <c r="C27" s="15">
        <v>45957</v>
      </c>
      <c r="D27" s="2">
        <v>1</v>
      </c>
      <c r="E27" s="3">
        <v>45936</v>
      </c>
      <c r="F27" s="18">
        <v>45931</v>
      </c>
      <c r="G27" s="19" t="s">
        <v>467</v>
      </c>
      <c r="H27" s="2" t="s">
        <v>21</v>
      </c>
      <c r="I27" s="2" t="s">
        <v>98</v>
      </c>
      <c r="J27" s="4" t="s">
        <v>23</v>
      </c>
      <c r="K27" s="5">
        <v>800</v>
      </c>
      <c r="L27" s="5"/>
      <c r="M27" s="5"/>
      <c r="N27" s="5"/>
      <c r="O27" s="5">
        <v>800</v>
      </c>
      <c r="P27" s="6" t="s">
        <v>24</v>
      </c>
      <c r="Q27" s="7" t="s">
        <v>25</v>
      </c>
    </row>
    <row r="28" spans="2:17" x14ac:dyDescent="0.25">
      <c r="B28" s="1">
        <f t="shared" si="0"/>
        <v>27</v>
      </c>
      <c r="C28" s="15">
        <v>45925</v>
      </c>
      <c r="D28" s="2" t="s">
        <v>99</v>
      </c>
      <c r="E28" s="3">
        <v>45936</v>
      </c>
      <c r="F28" s="18">
        <v>45931</v>
      </c>
      <c r="G28" s="19" t="s">
        <v>467</v>
      </c>
      <c r="H28" s="2" t="s">
        <v>100</v>
      </c>
      <c r="I28" s="2" t="s">
        <v>101</v>
      </c>
      <c r="J28" s="4" t="s">
        <v>89</v>
      </c>
      <c r="K28" s="5">
        <v>21000</v>
      </c>
      <c r="L28" s="5">
        <v>3780</v>
      </c>
      <c r="M28" s="5">
        <v>24780</v>
      </c>
      <c r="N28" s="5"/>
      <c r="O28" s="5">
        <v>24780</v>
      </c>
      <c r="P28" s="6" t="s">
        <v>24</v>
      </c>
      <c r="Q28" s="7" t="s">
        <v>37</v>
      </c>
    </row>
    <row r="29" spans="2:17" x14ac:dyDescent="0.25">
      <c r="B29" s="1">
        <f t="shared" si="0"/>
        <v>28</v>
      </c>
      <c r="C29" s="15">
        <v>45917</v>
      </c>
      <c r="D29" s="2" t="s">
        <v>102</v>
      </c>
      <c r="E29" s="3">
        <v>45936</v>
      </c>
      <c r="F29" s="18">
        <v>45931</v>
      </c>
      <c r="G29" s="19" t="s">
        <v>467</v>
      </c>
      <c r="H29" s="2" t="s">
        <v>103</v>
      </c>
      <c r="I29" s="2" t="s">
        <v>104</v>
      </c>
      <c r="J29" s="4" t="s">
        <v>105</v>
      </c>
      <c r="K29" s="5">
        <v>109820</v>
      </c>
      <c r="L29" s="5"/>
      <c r="M29" s="5">
        <v>109820</v>
      </c>
      <c r="N29" s="5"/>
      <c r="O29" s="5">
        <f>K29*50%</f>
        <v>54910</v>
      </c>
      <c r="P29" s="6" t="s">
        <v>36</v>
      </c>
      <c r="Q29" s="7" t="s">
        <v>106</v>
      </c>
    </row>
    <row r="30" spans="2:17" x14ac:dyDescent="0.25">
      <c r="B30" s="1">
        <f t="shared" si="0"/>
        <v>29</v>
      </c>
      <c r="C30" s="15">
        <v>45922</v>
      </c>
      <c r="D30" s="2" t="s">
        <v>107</v>
      </c>
      <c r="E30" s="3">
        <v>45936</v>
      </c>
      <c r="F30" s="18">
        <v>45931</v>
      </c>
      <c r="G30" s="19" t="s">
        <v>467</v>
      </c>
      <c r="H30" s="2" t="s">
        <v>108</v>
      </c>
      <c r="I30" s="2" t="s">
        <v>109</v>
      </c>
      <c r="J30" s="4" t="s">
        <v>110</v>
      </c>
      <c r="K30" s="5">
        <v>22334</v>
      </c>
      <c r="L30" s="5">
        <v>4020</v>
      </c>
      <c r="M30" s="5">
        <v>26354</v>
      </c>
      <c r="N30" s="5">
        <f>K30*1%</f>
        <v>223.34</v>
      </c>
      <c r="O30" s="5">
        <f>M30-N30</f>
        <v>26130.66</v>
      </c>
      <c r="P30" s="6" t="s">
        <v>24</v>
      </c>
      <c r="Q30" s="7" t="s">
        <v>37</v>
      </c>
    </row>
    <row r="31" spans="2:17" x14ac:dyDescent="0.25">
      <c r="B31" s="1">
        <f t="shared" si="0"/>
        <v>30</v>
      </c>
      <c r="C31" s="15">
        <v>45931</v>
      </c>
      <c r="D31" s="2">
        <v>3393</v>
      </c>
      <c r="E31" s="3">
        <v>45936</v>
      </c>
      <c r="F31" s="18">
        <v>45931</v>
      </c>
      <c r="G31" s="19" t="s">
        <v>467</v>
      </c>
      <c r="H31" s="2" t="s">
        <v>111</v>
      </c>
      <c r="I31" s="2" t="s">
        <v>112</v>
      </c>
      <c r="J31" s="4" t="s">
        <v>113</v>
      </c>
      <c r="K31" s="5">
        <v>55088</v>
      </c>
      <c r="L31" s="5"/>
      <c r="M31" s="5">
        <v>55088</v>
      </c>
      <c r="N31" s="5"/>
      <c r="O31" s="5">
        <v>55088</v>
      </c>
      <c r="P31" s="6" t="s">
        <v>19</v>
      </c>
      <c r="Q31" s="7" t="s">
        <v>25</v>
      </c>
    </row>
    <row r="32" spans="2:17" x14ac:dyDescent="0.25">
      <c r="B32" s="1">
        <f t="shared" si="0"/>
        <v>31</v>
      </c>
      <c r="C32" s="15">
        <v>45930</v>
      </c>
      <c r="D32" s="2">
        <v>1</v>
      </c>
      <c r="E32" s="3">
        <v>45936</v>
      </c>
      <c r="F32" s="18">
        <v>45931</v>
      </c>
      <c r="G32" s="19" t="s">
        <v>467</v>
      </c>
      <c r="H32" s="2" t="s">
        <v>28</v>
      </c>
      <c r="I32" s="2" t="s">
        <v>114</v>
      </c>
      <c r="J32" s="4" t="s">
        <v>30</v>
      </c>
      <c r="K32" s="5">
        <v>10412</v>
      </c>
      <c r="L32" s="5"/>
      <c r="M32" s="5">
        <v>10412</v>
      </c>
      <c r="N32" s="5"/>
      <c r="O32" s="5">
        <v>10412</v>
      </c>
      <c r="P32" s="6" t="s">
        <v>24</v>
      </c>
      <c r="Q32" s="7" t="s">
        <v>31</v>
      </c>
    </row>
    <row r="33" spans="2:17" x14ac:dyDescent="0.25">
      <c r="B33" s="1">
        <f t="shared" si="0"/>
        <v>32</v>
      </c>
      <c r="C33" s="15">
        <v>45925</v>
      </c>
      <c r="D33" s="2" t="s">
        <v>115</v>
      </c>
      <c r="E33" s="3">
        <v>45936</v>
      </c>
      <c r="F33" s="18">
        <v>45931</v>
      </c>
      <c r="G33" s="19" t="s">
        <v>467</v>
      </c>
      <c r="H33" s="2" t="s">
        <v>116</v>
      </c>
      <c r="I33" s="2" t="s">
        <v>117</v>
      </c>
      <c r="J33" s="4" t="s">
        <v>23</v>
      </c>
      <c r="K33" s="5">
        <v>15125</v>
      </c>
      <c r="L33" s="5">
        <v>2723</v>
      </c>
      <c r="M33" s="5">
        <v>17848</v>
      </c>
      <c r="N33" s="5"/>
      <c r="O33" s="5">
        <v>17848</v>
      </c>
      <c r="P33" s="6" t="s">
        <v>24</v>
      </c>
      <c r="Q33" s="7" t="s">
        <v>25</v>
      </c>
    </row>
    <row r="34" spans="2:17" x14ac:dyDescent="0.25">
      <c r="B34" s="1">
        <f t="shared" si="0"/>
        <v>33</v>
      </c>
      <c r="C34" s="15">
        <v>45928</v>
      </c>
      <c r="D34" s="2" t="s">
        <v>118</v>
      </c>
      <c r="E34" s="3">
        <v>45936</v>
      </c>
      <c r="F34" s="18">
        <v>45931</v>
      </c>
      <c r="G34" s="19" t="s">
        <v>467</v>
      </c>
      <c r="H34" s="2" t="s">
        <v>119</v>
      </c>
      <c r="I34" s="2" t="s">
        <v>120</v>
      </c>
      <c r="J34" s="4" t="s">
        <v>121</v>
      </c>
      <c r="K34" s="5">
        <v>248440</v>
      </c>
      <c r="L34" s="5">
        <v>44719</v>
      </c>
      <c r="M34" s="5">
        <v>293159</v>
      </c>
      <c r="N34" s="5">
        <v>2484</v>
      </c>
      <c r="O34" s="5">
        <v>290675</v>
      </c>
      <c r="P34" s="6" t="s">
        <v>24</v>
      </c>
      <c r="Q34" s="7" t="s">
        <v>37</v>
      </c>
    </row>
    <row r="35" spans="2:17" x14ac:dyDescent="0.25">
      <c r="B35" s="1">
        <f t="shared" si="0"/>
        <v>34</v>
      </c>
      <c r="C35" s="15">
        <v>45934</v>
      </c>
      <c r="D35" s="2" t="s">
        <v>122</v>
      </c>
      <c r="E35" s="3">
        <v>45946</v>
      </c>
      <c r="F35" s="18">
        <v>45931</v>
      </c>
      <c r="G35" s="19" t="s">
        <v>467</v>
      </c>
      <c r="H35" s="2" t="s">
        <v>116</v>
      </c>
      <c r="I35" s="2" t="s">
        <v>123</v>
      </c>
      <c r="J35" s="4" t="s">
        <v>23</v>
      </c>
      <c r="K35" s="5">
        <v>27775</v>
      </c>
      <c r="L35" s="5">
        <v>5000</v>
      </c>
      <c r="M35" s="5">
        <v>32775</v>
      </c>
      <c r="N35" s="5"/>
      <c r="O35" s="5">
        <v>32775</v>
      </c>
      <c r="P35" s="6" t="s">
        <v>24</v>
      </c>
      <c r="Q35" s="7" t="s">
        <v>25</v>
      </c>
    </row>
    <row r="36" spans="2:17" x14ac:dyDescent="0.25">
      <c r="B36" s="1">
        <f t="shared" si="0"/>
        <v>35</v>
      </c>
      <c r="C36" s="15">
        <v>45938</v>
      </c>
      <c r="D36" s="2">
        <v>2558</v>
      </c>
      <c r="E36" s="3">
        <v>45946</v>
      </c>
      <c r="F36" s="18">
        <v>45931</v>
      </c>
      <c r="G36" s="19" t="s">
        <v>467</v>
      </c>
      <c r="H36" s="2" t="s">
        <v>124</v>
      </c>
      <c r="I36" s="2" t="s">
        <v>125</v>
      </c>
      <c r="J36" s="4" t="s">
        <v>126</v>
      </c>
      <c r="K36" s="5">
        <v>70060</v>
      </c>
      <c r="L36" s="5">
        <v>12012</v>
      </c>
      <c r="M36" s="5">
        <v>82072</v>
      </c>
      <c r="N36" s="5"/>
      <c r="O36" s="5">
        <v>82072</v>
      </c>
      <c r="P36" s="6" t="s">
        <v>24</v>
      </c>
      <c r="Q36" s="7" t="s">
        <v>72</v>
      </c>
    </row>
    <row r="37" spans="2:17" x14ac:dyDescent="0.25">
      <c r="B37" s="1">
        <f t="shared" si="0"/>
        <v>36</v>
      </c>
      <c r="C37" s="15"/>
      <c r="D37" s="2"/>
      <c r="E37" s="3">
        <v>45946</v>
      </c>
      <c r="F37" s="18">
        <v>45901</v>
      </c>
      <c r="G37" s="19" t="s">
        <v>468</v>
      </c>
      <c r="H37" s="2" t="s">
        <v>127</v>
      </c>
      <c r="I37" s="2" t="s">
        <v>128</v>
      </c>
      <c r="J37" s="4" t="s">
        <v>129</v>
      </c>
      <c r="K37" s="5">
        <v>948770</v>
      </c>
      <c r="L37" s="5"/>
      <c r="M37" s="5"/>
      <c r="N37" s="5"/>
      <c r="O37" s="5">
        <v>948770</v>
      </c>
      <c r="P37" s="6" t="s">
        <v>19</v>
      </c>
      <c r="Q37" s="7" t="s">
        <v>25</v>
      </c>
    </row>
    <row r="38" spans="2:17" x14ac:dyDescent="0.25">
      <c r="B38" s="1">
        <f t="shared" si="0"/>
        <v>37</v>
      </c>
      <c r="C38" s="15"/>
      <c r="D38" s="2"/>
      <c r="E38" s="3">
        <v>45946</v>
      </c>
      <c r="F38" s="18">
        <v>45931</v>
      </c>
      <c r="G38" s="19" t="s">
        <v>467</v>
      </c>
      <c r="H38" s="2" t="s">
        <v>130</v>
      </c>
      <c r="I38" s="2" t="s">
        <v>131</v>
      </c>
      <c r="J38" s="4" t="s">
        <v>131</v>
      </c>
      <c r="K38" s="5">
        <v>11.8</v>
      </c>
      <c r="L38" s="5"/>
      <c r="M38" s="5">
        <v>11.8</v>
      </c>
      <c r="N38" s="5"/>
      <c r="O38" s="5">
        <v>11.8</v>
      </c>
      <c r="P38" s="6"/>
      <c r="Q38" s="7"/>
    </row>
    <row r="39" spans="2:17" x14ac:dyDescent="0.25">
      <c r="B39" s="1">
        <f t="shared" si="0"/>
        <v>38</v>
      </c>
      <c r="C39" s="15">
        <v>45939</v>
      </c>
      <c r="D39" s="2">
        <v>19</v>
      </c>
      <c r="E39" s="3">
        <v>45946</v>
      </c>
      <c r="F39" s="18">
        <v>45901</v>
      </c>
      <c r="G39" s="19" t="s">
        <v>468</v>
      </c>
      <c r="H39" s="2" t="s">
        <v>132</v>
      </c>
      <c r="I39" s="2" t="s">
        <v>133</v>
      </c>
      <c r="J39" s="4" t="s">
        <v>134</v>
      </c>
      <c r="K39" s="5">
        <v>89888</v>
      </c>
      <c r="L39" s="5">
        <v>16180</v>
      </c>
      <c r="M39" s="5">
        <v>106068</v>
      </c>
      <c r="N39" s="5">
        <v>8989</v>
      </c>
      <c r="O39" s="5">
        <v>97079</v>
      </c>
      <c r="P39" s="6" t="s">
        <v>19</v>
      </c>
      <c r="Q39" s="7" t="s">
        <v>135</v>
      </c>
    </row>
    <row r="40" spans="2:17" x14ac:dyDescent="0.25">
      <c r="B40" s="1">
        <f t="shared" si="0"/>
        <v>39</v>
      </c>
      <c r="C40" s="15">
        <v>45939</v>
      </c>
      <c r="D40" s="2">
        <v>3282</v>
      </c>
      <c r="E40" s="3">
        <v>45947</v>
      </c>
      <c r="F40" s="18">
        <v>45901</v>
      </c>
      <c r="G40" s="19" t="s">
        <v>468</v>
      </c>
      <c r="H40" s="2" t="s">
        <v>136</v>
      </c>
      <c r="I40" s="2" t="s">
        <v>137</v>
      </c>
      <c r="J40" s="4" t="s">
        <v>138</v>
      </c>
      <c r="K40" s="5">
        <v>358655</v>
      </c>
      <c r="L40" s="5">
        <v>64558</v>
      </c>
      <c r="M40" s="5">
        <v>423213</v>
      </c>
      <c r="N40" s="5">
        <v>7173</v>
      </c>
      <c r="O40" s="5">
        <v>416040</v>
      </c>
      <c r="P40" s="6" t="s">
        <v>19</v>
      </c>
      <c r="Q40" s="7" t="s">
        <v>37</v>
      </c>
    </row>
    <row r="41" spans="2:17" x14ac:dyDescent="0.25">
      <c r="B41" s="1">
        <f t="shared" si="0"/>
        <v>40</v>
      </c>
      <c r="C41" s="15">
        <v>45940</v>
      </c>
      <c r="D41" s="2" t="s">
        <v>139</v>
      </c>
      <c r="E41" s="3">
        <v>45947</v>
      </c>
      <c r="F41" s="18">
        <v>45931</v>
      </c>
      <c r="G41" s="19" t="s">
        <v>467</v>
      </c>
      <c r="H41" s="2" t="s">
        <v>140</v>
      </c>
      <c r="I41" s="2" t="s">
        <v>141</v>
      </c>
      <c r="J41" s="4" t="s">
        <v>142</v>
      </c>
      <c r="K41" s="5">
        <v>166430</v>
      </c>
      <c r="L41" s="5">
        <v>29957</v>
      </c>
      <c r="M41" s="5">
        <v>196387</v>
      </c>
      <c r="N41" s="5">
        <v>1664</v>
      </c>
      <c r="O41" s="5">
        <v>111508</v>
      </c>
      <c r="P41" s="6" t="s">
        <v>24</v>
      </c>
      <c r="Q41" s="7" t="s">
        <v>20</v>
      </c>
    </row>
    <row r="42" spans="2:17" x14ac:dyDescent="0.25">
      <c r="B42" s="1">
        <f t="shared" si="0"/>
        <v>41</v>
      </c>
      <c r="C42" s="15">
        <v>45942</v>
      </c>
      <c r="D42" s="2">
        <v>836</v>
      </c>
      <c r="E42" s="3">
        <v>45955</v>
      </c>
      <c r="F42" s="18">
        <v>45931</v>
      </c>
      <c r="G42" s="19" t="s">
        <v>467</v>
      </c>
      <c r="H42" s="2" t="s">
        <v>26</v>
      </c>
      <c r="I42" s="2" t="s">
        <v>143</v>
      </c>
      <c r="J42" s="4" t="s">
        <v>23</v>
      </c>
      <c r="K42" s="5">
        <v>8374</v>
      </c>
      <c r="L42" s="5">
        <v>1507</v>
      </c>
      <c r="M42" s="5">
        <v>9881</v>
      </c>
      <c r="N42" s="5"/>
      <c r="O42" s="5">
        <v>9881</v>
      </c>
      <c r="P42" s="6" t="s">
        <v>24</v>
      </c>
      <c r="Q42" s="7" t="s">
        <v>25</v>
      </c>
    </row>
    <row r="43" spans="2:17" x14ac:dyDescent="0.25">
      <c r="B43" s="1">
        <f t="shared" si="0"/>
        <v>42</v>
      </c>
      <c r="C43" s="15">
        <v>45944</v>
      </c>
      <c r="D43" s="2">
        <v>849</v>
      </c>
      <c r="E43" s="3">
        <v>45955</v>
      </c>
      <c r="F43" s="18">
        <v>45931</v>
      </c>
      <c r="G43" s="19" t="s">
        <v>467</v>
      </c>
      <c r="H43" s="2" t="s">
        <v>26</v>
      </c>
      <c r="I43" s="2" t="s">
        <v>144</v>
      </c>
      <c r="J43" s="4" t="s">
        <v>23</v>
      </c>
      <c r="K43" s="5">
        <v>6910</v>
      </c>
      <c r="L43" s="5">
        <v>1244</v>
      </c>
      <c r="M43" s="5">
        <v>8154</v>
      </c>
      <c r="N43" s="5"/>
      <c r="O43" s="5">
        <v>8154</v>
      </c>
      <c r="P43" s="6" t="s">
        <v>24</v>
      </c>
      <c r="Q43" s="7" t="s">
        <v>25</v>
      </c>
    </row>
    <row r="44" spans="2:17" x14ac:dyDescent="0.25">
      <c r="B44" s="1">
        <f t="shared" si="0"/>
        <v>43</v>
      </c>
      <c r="C44" s="15">
        <v>45943</v>
      </c>
      <c r="D44" s="2">
        <v>21356</v>
      </c>
      <c r="E44" s="3">
        <v>45947</v>
      </c>
      <c r="F44" s="18">
        <v>45931</v>
      </c>
      <c r="G44" s="19" t="s">
        <v>467</v>
      </c>
      <c r="H44" s="2" t="s">
        <v>91</v>
      </c>
      <c r="I44" s="2" t="s">
        <v>145</v>
      </c>
      <c r="J44" s="4" t="s">
        <v>93</v>
      </c>
      <c r="K44" s="5">
        <v>15350</v>
      </c>
      <c r="L44" s="5">
        <v>2763</v>
      </c>
      <c r="M44" s="5">
        <v>18113</v>
      </c>
      <c r="N44" s="5"/>
      <c r="O44" s="5">
        <v>18113</v>
      </c>
      <c r="P44" s="6" t="s">
        <v>24</v>
      </c>
      <c r="Q44" s="7" t="s">
        <v>72</v>
      </c>
    </row>
    <row r="45" spans="2:17" x14ac:dyDescent="0.25">
      <c r="B45" s="1">
        <f t="shared" si="0"/>
        <v>44</v>
      </c>
      <c r="C45" s="15">
        <v>45938</v>
      </c>
      <c r="D45" s="2" t="s">
        <v>146</v>
      </c>
      <c r="E45" s="3">
        <v>45947</v>
      </c>
      <c r="F45" s="18">
        <v>45931</v>
      </c>
      <c r="G45" s="19" t="s">
        <v>467</v>
      </c>
      <c r="H45" s="2" t="s">
        <v>147</v>
      </c>
      <c r="I45" s="2" t="s">
        <v>148</v>
      </c>
      <c r="J45" s="4" t="s">
        <v>149</v>
      </c>
      <c r="K45" s="5">
        <v>50350</v>
      </c>
      <c r="L45" s="5">
        <v>9063</v>
      </c>
      <c r="M45" s="5">
        <v>59413</v>
      </c>
      <c r="N45" s="5">
        <v>504</v>
      </c>
      <c r="O45" s="5">
        <v>33987</v>
      </c>
      <c r="P45" s="6" t="s">
        <v>36</v>
      </c>
      <c r="Q45" s="7" t="s">
        <v>52</v>
      </c>
    </row>
    <row r="46" spans="2:17" x14ac:dyDescent="0.25">
      <c r="B46" s="1">
        <f t="shared" si="0"/>
        <v>45</v>
      </c>
      <c r="C46" s="15">
        <v>45938</v>
      </c>
      <c r="D46" s="2" t="s">
        <v>150</v>
      </c>
      <c r="E46" s="3">
        <v>45947</v>
      </c>
      <c r="F46" s="18">
        <v>45931</v>
      </c>
      <c r="G46" s="19" t="s">
        <v>467</v>
      </c>
      <c r="H46" s="2" t="s">
        <v>147</v>
      </c>
      <c r="I46" s="2" t="s">
        <v>151</v>
      </c>
      <c r="J46" s="4" t="s">
        <v>149</v>
      </c>
      <c r="K46" s="5">
        <v>129584</v>
      </c>
      <c r="L46" s="5">
        <v>23325</v>
      </c>
      <c r="M46" s="5">
        <v>152909</v>
      </c>
      <c r="N46" s="5">
        <v>1296</v>
      </c>
      <c r="O46" s="5">
        <v>87469</v>
      </c>
      <c r="P46" s="6" t="s">
        <v>36</v>
      </c>
      <c r="Q46" s="7" t="s">
        <v>52</v>
      </c>
    </row>
    <row r="47" spans="2:17" x14ac:dyDescent="0.25">
      <c r="B47" s="1">
        <f t="shared" si="0"/>
        <v>46</v>
      </c>
      <c r="C47" s="15">
        <v>45938</v>
      </c>
      <c r="D47" s="2" t="s">
        <v>152</v>
      </c>
      <c r="E47" s="3">
        <v>45947</v>
      </c>
      <c r="F47" s="18">
        <v>45931</v>
      </c>
      <c r="G47" s="19" t="s">
        <v>467</v>
      </c>
      <c r="H47" s="2" t="s">
        <v>147</v>
      </c>
      <c r="I47" s="2" t="s">
        <v>153</v>
      </c>
      <c r="J47" s="4" t="s">
        <v>149</v>
      </c>
      <c r="K47" s="5">
        <v>52688</v>
      </c>
      <c r="L47" s="5">
        <v>9484</v>
      </c>
      <c r="M47" s="5">
        <v>62172</v>
      </c>
      <c r="N47" s="5">
        <v>527</v>
      </c>
      <c r="O47" s="5">
        <v>35564</v>
      </c>
      <c r="P47" s="6" t="s">
        <v>36</v>
      </c>
      <c r="Q47" s="7" t="s">
        <v>52</v>
      </c>
    </row>
    <row r="48" spans="2:17" x14ac:dyDescent="0.25">
      <c r="B48" s="1">
        <f t="shared" si="0"/>
        <v>47</v>
      </c>
      <c r="C48" s="15">
        <v>45938</v>
      </c>
      <c r="D48" s="2" t="s">
        <v>154</v>
      </c>
      <c r="E48" s="3">
        <v>45947</v>
      </c>
      <c r="F48" s="18">
        <v>45931</v>
      </c>
      <c r="G48" s="19" t="s">
        <v>467</v>
      </c>
      <c r="H48" s="2" t="s">
        <v>147</v>
      </c>
      <c r="I48" s="2" t="s">
        <v>155</v>
      </c>
      <c r="J48" s="4" t="s">
        <v>149</v>
      </c>
      <c r="K48" s="5">
        <v>95000</v>
      </c>
      <c r="L48" s="5">
        <v>17100</v>
      </c>
      <c r="M48" s="5">
        <v>112100</v>
      </c>
      <c r="N48" s="5">
        <v>950</v>
      </c>
      <c r="O48" s="5">
        <v>64125</v>
      </c>
      <c r="P48" s="6" t="s">
        <v>36</v>
      </c>
      <c r="Q48" s="7" t="s">
        <v>52</v>
      </c>
    </row>
    <row r="49" spans="2:17" x14ac:dyDescent="0.25">
      <c r="B49" s="1">
        <f t="shared" si="0"/>
        <v>48</v>
      </c>
      <c r="C49" s="15">
        <v>45938</v>
      </c>
      <c r="D49" s="2" t="s">
        <v>156</v>
      </c>
      <c r="E49" s="3">
        <v>45947</v>
      </c>
      <c r="F49" s="18">
        <v>45931</v>
      </c>
      <c r="G49" s="19" t="s">
        <v>467</v>
      </c>
      <c r="H49" s="2" t="s">
        <v>147</v>
      </c>
      <c r="I49" s="2" t="s">
        <v>157</v>
      </c>
      <c r="J49" s="4" t="s">
        <v>149</v>
      </c>
      <c r="K49" s="5">
        <v>254600</v>
      </c>
      <c r="L49" s="5">
        <v>45828</v>
      </c>
      <c r="M49" s="5">
        <v>300428</v>
      </c>
      <c r="N49" s="5">
        <v>2546</v>
      </c>
      <c r="O49" s="5">
        <v>171855</v>
      </c>
      <c r="P49" s="6" t="s">
        <v>36</v>
      </c>
      <c r="Q49" s="7" t="s">
        <v>52</v>
      </c>
    </row>
    <row r="50" spans="2:17" x14ac:dyDescent="0.25">
      <c r="B50" s="1">
        <f t="shared" si="0"/>
        <v>49</v>
      </c>
      <c r="C50" s="15">
        <v>45938</v>
      </c>
      <c r="D50" s="2" t="s">
        <v>158</v>
      </c>
      <c r="E50" s="3">
        <v>45947</v>
      </c>
      <c r="F50" s="18">
        <v>45931</v>
      </c>
      <c r="G50" s="19" t="s">
        <v>467</v>
      </c>
      <c r="H50" s="2" t="s">
        <v>147</v>
      </c>
      <c r="I50" s="2" t="s">
        <v>159</v>
      </c>
      <c r="J50" s="4" t="s">
        <v>149</v>
      </c>
      <c r="K50" s="5">
        <v>20000</v>
      </c>
      <c r="L50" s="5">
        <v>3600</v>
      </c>
      <c r="M50" s="5">
        <v>23600</v>
      </c>
      <c r="N50" s="5">
        <v>200</v>
      </c>
      <c r="O50" s="5">
        <v>23400</v>
      </c>
      <c r="P50" s="6" t="s">
        <v>36</v>
      </c>
      <c r="Q50" s="7" t="s">
        <v>52</v>
      </c>
    </row>
    <row r="51" spans="2:17" x14ac:dyDescent="0.25">
      <c r="B51" s="1">
        <f t="shared" si="0"/>
        <v>50</v>
      </c>
      <c r="C51" s="15">
        <v>45930</v>
      </c>
      <c r="D51" s="2" t="s">
        <v>160</v>
      </c>
      <c r="E51" s="3">
        <v>45940</v>
      </c>
      <c r="F51" s="18">
        <v>45901</v>
      </c>
      <c r="G51" s="19" t="s">
        <v>468</v>
      </c>
      <c r="H51" s="2" t="s">
        <v>161</v>
      </c>
      <c r="I51" s="2" t="s">
        <v>162</v>
      </c>
      <c r="J51" s="4" t="s">
        <v>163</v>
      </c>
      <c r="K51" s="5">
        <v>21000</v>
      </c>
      <c r="L51" s="5">
        <v>3780</v>
      </c>
      <c r="M51" s="5">
        <v>24780</v>
      </c>
      <c r="N51" s="5">
        <v>210</v>
      </c>
      <c r="O51" s="5">
        <v>24570</v>
      </c>
      <c r="P51" s="6" t="s">
        <v>19</v>
      </c>
      <c r="Q51" s="7" t="s">
        <v>31</v>
      </c>
    </row>
    <row r="52" spans="2:17" x14ac:dyDescent="0.25">
      <c r="B52" s="1">
        <f t="shared" si="0"/>
        <v>51</v>
      </c>
      <c r="C52" s="15">
        <v>45933</v>
      </c>
      <c r="D52" s="2" t="s">
        <v>164</v>
      </c>
      <c r="E52" s="3">
        <v>45940</v>
      </c>
      <c r="F52" s="18">
        <v>45931</v>
      </c>
      <c r="G52" s="19" t="s">
        <v>468</v>
      </c>
      <c r="H52" s="2" t="s">
        <v>61</v>
      </c>
      <c r="I52" s="2" t="s">
        <v>165</v>
      </c>
      <c r="J52" s="4" t="s">
        <v>166</v>
      </c>
      <c r="K52" s="5">
        <v>7500</v>
      </c>
      <c r="L52" s="5">
        <v>1350</v>
      </c>
      <c r="M52" s="5">
        <v>8850</v>
      </c>
      <c r="N52" s="5">
        <v>75</v>
      </c>
      <c r="O52" s="5">
        <v>8775</v>
      </c>
      <c r="P52" s="6" t="s">
        <v>19</v>
      </c>
      <c r="Q52" s="7" t="s">
        <v>52</v>
      </c>
    </row>
    <row r="53" spans="2:17" ht="30" x14ac:dyDescent="0.25">
      <c r="B53" s="1">
        <f t="shared" si="0"/>
        <v>52</v>
      </c>
      <c r="C53" s="15">
        <v>45931</v>
      </c>
      <c r="D53" s="2" t="s">
        <v>167</v>
      </c>
      <c r="E53" s="3">
        <v>45939</v>
      </c>
      <c r="F53" s="18">
        <v>45901</v>
      </c>
      <c r="G53" s="19" t="s">
        <v>468</v>
      </c>
      <c r="H53" s="2" t="s">
        <v>168</v>
      </c>
      <c r="I53" s="2" t="s">
        <v>169</v>
      </c>
      <c r="J53" s="4" t="s">
        <v>170</v>
      </c>
      <c r="K53" s="5">
        <v>88920</v>
      </c>
      <c r="L53" s="5">
        <f>K53*18%</f>
        <v>16005.599999999999</v>
      </c>
      <c r="M53" s="5">
        <f>K53+L53</f>
        <v>104925.6</v>
      </c>
      <c r="N53" s="5">
        <f>K53*1%</f>
        <v>889.2</v>
      </c>
      <c r="O53" s="5">
        <f>M53-N53</f>
        <v>104036.40000000001</v>
      </c>
      <c r="P53" s="6" t="s">
        <v>19</v>
      </c>
      <c r="Q53" s="7" t="s">
        <v>20</v>
      </c>
    </row>
    <row r="54" spans="2:17" ht="30" x14ac:dyDescent="0.25">
      <c r="B54" s="1">
        <f t="shared" si="0"/>
        <v>53</v>
      </c>
      <c r="C54" s="15">
        <v>45931</v>
      </c>
      <c r="D54" s="2" t="s">
        <v>167</v>
      </c>
      <c r="E54" s="3">
        <v>45939</v>
      </c>
      <c r="F54" s="18">
        <v>45901</v>
      </c>
      <c r="G54" s="19" t="s">
        <v>468</v>
      </c>
      <c r="H54" s="2" t="s">
        <v>168</v>
      </c>
      <c r="I54" s="2" t="s">
        <v>171</v>
      </c>
      <c r="J54" s="4" t="s">
        <v>170</v>
      </c>
      <c r="K54" s="5">
        <v>63333</v>
      </c>
      <c r="L54" s="5">
        <f t="shared" ref="L54:L67" si="1">K54*18%</f>
        <v>11399.939999999999</v>
      </c>
      <c r="M54" s="5">
        <f t="shared" ref="M54:M67" si="2">K54+L54</f>
        <v>74732.94</v>
      </c>
      <c r="N54" s="5">
        <f t="shared" ref="N54:N67" si="3">K54*1%</f>
        <v>633.33000000000004</v>
      </c>
      <c r="O54" s="5">
        <f t="shared" ref="O54:O67" si="4">M54-N54</f>
        <v>74099.61</v>
      </c>
      <c r="P54" s="6" t="s">
        <v>19</v>
      </c>
      <c r="Q54" s="7" t="s">
        <v>20</v>
      </c>
    </row>
    <row r="55" spans="2:17" ht="30" x14ac:dyDescent="0.25">
      <c r="B55" s="1">
        <f t="shared" si="0"/>
        <v>54</v>
      </c>
      <c r="C55" s="15">
        <v>45931</v>
      </c>
      <c r="D55" s="2" t="s">
        <v>167</v>
      </c>
      <c r="E55" s="3">
        <v>45939</v>
      </c>
      <c r="F55" s="18">
        <v>45901</v>
      </c>
      <c r="G55" s="19" t="s">
        <v>468</v>
      </c>
      <c r="H55" s="2" t="s">
        <v>168</v>
      </c>
      <c r="I55" s="2" t="s">
        <v>172</v>
      </c>
      <c r="J55" s="4" t="s">
        <v>170</v>
      </c>
      <c r="K55" s="5">
        <v>39936</v>
      </c>
      <c r="L55" s="5">
        <f t="shared" si="1"/>
        <v>7188.48</v>
      </c>
      <c r="M55" s="5">
        <f t="shared" si="2"/>
        <v>47124.479999999996</v>
      </c>
      <c r="N55" s="5">
        <f t="shared" si="3"/>
        <v>399.36</v>
      </c>
      <c r="O55" s="5">
        <f t="shared" si="4"/>
        <v>46725.119999999995</v>
      </c>
      <c r="P55" s="6" t="s">
        <v>19</v>
      </c>
      <c r="Q55" s="7" t="s">
        <v>20</v>
      </c>
    </row>
    <row r="56" spans="2:17" ht="30" x14ac:dyDescent="0.25">
      <c r="B56" s="1">
        <f t="shared" si="0"/>
        <v>55</v>
      </c>
      <c r="C56" s="15">
        <v>45931</v>
      </c>
      <c r="D56" s="2" t="s">
        <v>167</v>
      </c>
      <c r="E56" s="3">
        <v>45939</v>
      </c>
      <c r="F56" s="18">
        <v>45901</v>
      </c>
      <c r="G56" s="19" t="s">
        <v>468</v>
      </c>
      <c r="H56" s="2" t="s">
        <v>168</v>
      </c>
      <c r="I56" s="2" t="s">
        <v>173</v>
      </c>
      <c r="J56" s="4" t="s">
        <v>170</v>
      </c>
      <c r="K56" s="5">
        <v>61920</v>
      </c>
      <c r="L56" s="5">
        <f t="shared" si="1"/>
        <v>11145.6</v>
      </c>
      <c r="M56" s="5">
        <f t="shared" si="2"/>
        <v>73065.600000000006</v>
      </c>
      <c r="N56" s="5">
        <f t="shared" si="3"/>
        <v>619.20000000000005</v>
      </c>
      <c r="O56" s="5">
        <f t="shared" si="4"/>
        <v>72446.400000000009</v>
      </c>
      <c r="P56" s="6" t="s">
        <v>19</v>
      </c>
      <c r="Q56" s="7" t="s">
        <v>20</v>
      </c>
    </row>
    <row r="57" spans="2:17" ht="30" x14ac:dyDescent="0.25">
      <c r="B57" s="1">
        <f t="shared" si="0"/>
        <v>56</v>
      </c>
      <c r="C57" s="15">
        <v>45931</v>
      </c>
      <c r="D57" s="2" t="s">
        <v>167</v>
      </c>
      <c r="E57" s="3">
        <v>45939</v>
      </c>
      <c r="F57" s="18">
        <v>45901</v>
      </c>
      <c r="G57" s="19" t="s">
        <v>468</v>
      </c>
      <c r="H57" s="2" t="s">
        <v>168</v>
      </c>
      <c r="I57" s="2" t="s">
        <v>174</v>
      </c>
      <c r="J57" s="4" t="s">
        <v>170</v>
      </c>
      <c r="K57" s="5">
        <v>31806</v>
      </c>
      <c r="L57" s="5">
        <f t="shared" si="1"/>
        <v>5725.08</v>
      </c>
      <c r="M57" s="5">
        <f t="shared" si="2"/>
        <v>37531.08</v>
      </c>
      <c r="N57" s="5">
        <f t="shared" si="3"/>
        <v>318.06</v>
      </c>
      <c r="O57" s="5">
        <f t="shared" si="4"/>
        <v>37213.020000000004</v>
      </c>
      <c r="P57" s="6" t="s">
        <v>19</v>
      </c>
      <c r="Q57" s="7" t="s">
        <v>20</v>
      </c>
    </row>
    <row r="58" spans="2:17" ht="30" x14ac:dyDescent="0.25">
      <c r="B58" s="1">
        <f t="shared" si="0"/>
        <v>57</v>
      </c>
      <c r="C58" s="15">
        <v>45931</v>
      </c>
      <c r="D58" s="2" t="s">
        <v>167</v>
      </c>
      <c r="E58" s="3">
        <v>45939</v>
      </c>
      <c r="F58" s="18">
        <v>45901</v>
      </c>
      <c r="G58" s="19" t="s">
        <v>468</v>
      </c>
      <c r="H58" s="2" t="s">
        <v>168</v>
      </c>
      <c r="I58" s="2" t="s">
        <v>175</v>
      </c>
      <c r="J58" s="4" t="s">
        <v>176</v>
      </c>
      <c r="K58" s="5">
        <v>193501</v>
      </c>
      <c r="L58" s="5">
        <f t="shared" si="1"/>
        <v>34830.18</v>
      </c>
      <c r="M58" s="5">
        <f t="shared" si="2"/>
        <v>228331.18</v>
      </c>
      <c r="N58" s="5">
        <f t="shared" si="3"/>
        <v>1935.01</v>
      </c>
      <c r="O58" s="5">
        <f t="shared" si="4"/>
        <v>226396.16999999998</v>
      </c>
      <c r="P58" s="6" t="s">
        <v>19</v>
      </c>
      <c r="Q58" s="7" t="s">
        <v>25</v>
      </c>
    </row>
    <row r="59" spans="2:17" ht="30" x14ac:dyDescent="0.25">
      <c r="B59" s="1">
        <f t="shared" si="0"/>
        <v>58</v>
      </c>
      <c r="C59" s="15">
        <v>45931</v>
      </c>
      <c r="D59" s="2" t="s">
        <v>167</v>
      </c>
      <c r="E59" s="3">
        <v>45939</v>
      </c>
      <c r="F59" s="18">
        <v>45901</v>
      </c>
      <c r="G59" s="19" t="s">
        <v>468</v>
      </c>
      <c r="H59" s="2" t="s">
        <v>168</v>
      </c>
      <c r="I59" s="2" t="s">
        <v>177</v>
      </c>
      <c r="J59" s="4" t="s">
        <v>178</v>
      </c>
      <c r="K59" s="5">
        <v>213293</v>
      </c>
      <c r="L59" s="5">
        <f t="shared" si="1"/>
        <v>38392.74</v>
      </c>
      <c r="M59" s="5">
        <f t="shared" si="2"/>
        <v>251685.74</v>
      </c>
      <c r="N59" s="5">
        <f t="shared" si="3"/>
        <v>2132.9299999999998</v>
      </c>
      <c r="O59" s="5">
        <f t="shared" si="4"/>
        <v>249552.81</v>
      </c>
      <c r="P59" s="6" t="s">
        <v>19</v>
      </c>
      <c r="Q59" s="7" t="s">
        <v>37</v>
      </c>
    </row>
    <row r="60" spans="2:17" ht="30" x14ac:dyDescent="0.25">
      <c r="B60" s="1">
        <f t="shared" si="0"/>
        <v>59</v>
      </c>
      <c r="C60" s="15">
        <v>45931</v>
      </c>
      <c r="D60" s="2" t="s">
        <v>167</v>
      </c>
      <c r="E60" s="3">
        <v>45939</v>
      </c>
      <c r="F60" s="18">
        <v>45901</v>
      </c>
      <c r="G60" s="19" t="s">
        <v>468</v>
      </c>
      <c r="H60" s="2" t="s">
        <v>168</v>
      </c>
      <c r="I60" s="2" t="s">
        <v>179</v>
      </c>
      <c r="J60" s="4" t="s">
        <v>180</v>
      </c>
      <c r="K60" s="5">
        <v>24300</v>
      </c>
      <c r="L60" s="5">
        <f t="shared" si="1"/>
        <v>4374</v>
      </c>
      <c r="M60" s="5">
        <f t="shared" si="2"/>
        <v>28674</v>
      </c>
      <c r="N60" s="5">
        <f t="shared" si="3"/>
        <v>243</v>
      </c>
      <c r="O60" s="5">
        <f t="shared" si="4"/>
        <v>28431</v>
      </c>
      <c r="P60" s="6" t="s">
        <v>19</v>
      </c>
      <c r="Q60" s="7" t="s">
        <v>106</v>
      </c>
    </row>
    <row r="61" spans="2:17" ht="30" x14ac:dyDescent="0.25">
      <c r="B61" s="1">
        <f t="shared" si="0"/>
        <v>60</v>
      </c>
      <c r="C61" s="15">
        <v>45931</v>
      </c>
      <c r="D61" s="2" t="s">
        <v>167</v>
      </c>
      <c r="E61" s="3">
        <v>45939</v>
      </c>
      <c r="F61" s="18">
        <v>45901</v>
      </c>
      <c r="G61" s="19" t="s">
        <v>468</v>
      </c>
      <c r="H61" s="2" t="s">
        <v>168</v>
      </c>
      <c r="I61" s="2" t="s">
        <v>181</v>
      </c>
      <c r="J61" s="4" t="s">
        <v>180</v>
      </c>
      <c r="K61" s="5">
        <v>10200</v>
      </c>
      <c r="L61" s="5">
        <f t="shared" si="1"/>
        <v>1836</v>
      </c>
      <c r="M61" s="5">
        <f t="shared" si="2"/>
        <v>12036</v>
      </c>
      <c r="N61" s="5">
        <f t="shared" si="3"/>
        <v>102</v>
      </c>
      <c r="O61" s="5">
        <f t="shared" si="4"/>
        <v>11934</v>
      </c>
      <c r="P61" s="6" t="s">
        <v>19</v>
      </c>
      <c r="Q61" s="7" t="s">
        <v>106</v>
      </c>
    </row>
    <row r="62" spans="2:17" ht="30" x14ac:dyDescent="0.25">
      <c r="B62" s="1">
        <f t="shared" si="0"/>
        <v>61</v>
      </c>
      <c r="C62" s="15">
        <v>45931</v>
      </c>
      <c r="D62" s="2" t="s">
        <v>167</v>
      </c>
      <c r="E62" s="3">
        <v>45939</v>
      </c>
      <c r="F62" s="18">
        <v>45901</v>
      </c>
      <c r="G62" s="19" t="s">
        <v>468</v>
      </c>
      <c r="H62" s="2" t="s">
        <v>168</v>
      </c>
      <c r="I62" s="2" t="s">
        <v>182</v>
      </c>
      <c r="J62" s="4" t="s">
        <v>183</v>
      </c>
      <c r="K62" s="5">
        <v>29167</v>
      </c>
      <c r="L62" s="5">
        <f t="shared" si="1"/>
        <v>5250.0599999999995</v>
      </c>
      <c r="M62" s="5">
        <f t="shared" si="2"/>
        <v>34417.06</v>
      </c>
      <c r="N62" s="5">
        <f t="shared" si="3"/>
        <v>291.67</v>
      </c>
      <c r="O62" s="5">
        <f t="shared" si="4"/>
        <v>34125.39</v>
      </c>
      <c r="P62" s="6" t="s">
        <v>19</v>
      </c>
      <c r="Q62" s="7" t="s">
        <v>72</v>
      </c>
    </row>
    <row r="63" spans="2:17" ht="30" x14ac:dyDescent="0.25">
      <c r="B63" s="1">
        <f t="shared" si="0"/>
        <v>62</v>
      </c>
      <c r="C63" s="15">
        <v>45931</v>
      </c>
      <c r="D63" s="2" t="s">
        <v>167</v>
      </c>
      <c r="E63" s="3">
        <v>45939</v>
      </c>
      <c r="F63" s="18">
        <v>45901</v>
      </c>
      <c r="G63" s="19" t="s">
        <v>468</v>
      </c>
      <c r="H63" s="2" t="s">
        <v>168</v>
      </c>
      <c r="I63" s="2" t="s">
        <v>184</v>
      </c>
      <c r="J63" s="4" t="s">
        <v>183</v>
      </c>
      <c r="K63" s="5">
        <v>618118</v>
      </c>
      <c r="L63" s="5">
        <f t="shared" si="1"/>
        <v>111261.23999999999</v>
      </c>
      <c r="M63" s="5">
        <f t="shared" si="2"/>
        <v>729379.24</v>
      </c>
      <c r="N63" s="5">
        <f t="shared" si="3"/>
        <v>6181.18</v>
      </c>
      <c r="O63" s="5">
        <f t="shared" si="4"/>
        <v>723198.05999999994</v>
      </c>
      <c r="P63" s="6" t="s">
        <v>19</v>
      </c>
      <c r="Q63" s="7" t="s">
        <v>72</v>
      </c>
    </row>
    <row r="64" spans="2:17" ht="30" x14ac:dyDescent="0.25">
      <c r="B64" s="1">
        <f t="shared" si="0"/>
        <v>63</v>
      </c>
      <c r="C64" s="15">
        <v>45931</v>
      </c>
      <c r="D64" s="2" t="s">
        <v>167</v>
      </c>
      <c r="E64" s="3">
        <v>45939</v>
      </c>
      <c r="F64" s="18">
        <v>45901</v>
      </c>
      <c r="G64" s="19" t="s">
        <v>468</v>
      </c>
      <c r="H64" s="2" t="s">
        <v>168</v>
      </c>
      <c r="I64" s="2" t="s">
        <v>185</v>
      </c>
      <c r="J64" s="4" t="s">
        <v>183</v>
      </c>
      <c r="K64" s="5">
        <v>20000</v>
      </c>
      <c r="L64" s="5">
        <f t="shared" si="1"/>
        <v>3600</v>
      </c>
      <c r="M64" s="5">
        <f t="shared" si="2"/>
        <v>23600</v>
      </c>
      <c r="N64" s="5">
        <f t="shared" si="3"/>
        <v>200</v>
      </c>
      <c r="O64" s="5">
        <f t="shared" si="4"/>
        <v>23400</v>
      </c>
      <c r="P64" s="6" t="s">
        <v>19</v>
      </c>
      <c r="Q64" s="7" t="s">
        <v>72</v>
      </c>
    </row>
    <row r="65" spans="2:17" ht="30" x14ac:dyDescent="0.25">
      <c r="B65" s="1">
        <f t="shared" si="0"/>
        <v>64</v>
      </c>
      <c r="C65" s="15">
        <v>45931</v>
      </c>
      <c r="D65" s="2" t="s">
        <v>167</v>
      </c>
      <c r="E65" s="3">
        <v>45939</v>
      </c>
      <c r="F65" s="18">
        <v>45901</v>
      </c>
      <c r="G65" s="19" t="s">
        <v>468</v>
      </c>
      <c r="H65" s="2" t="s">
        <v>168</v>
      </c>
      <c r="I65" s="2" t="s">
        <v>186</v>
      </c>
      <c r="J65" s="4" t="s">
        <v>187</v>
      </c>
      <c r="K65" s="5">
        <v>19000</v>
      </c>
      <c r="L65" s="5">
        <f t="shared" si="1"/>
        <v>3420</v>
      </c>
      <c r="M65" s="5">
        <f t="shared" si="2"/>
        <v>22420</v>
      </c>
      <c r="N65" s="5">
        <f t="shared" si="3"/>
        <v>190</v>
      </c>
      <c r="O65" s="5">
        <f t="shared" si="4"/>
        <v>22230</v>
      </c>
      <c r="P65" s="6" t="s">
        <v>19</v>
      </c>
      <c r="Q65" s="7" t="s">
        <v>188</v>
      </c>
    </row>
    <row r="66" spans="2:17" ht="30" x14ac:dyDescent="0.25">
      <c r="B66" s="1">
        <f t="shared" si="0"/>
        <v>65</v>
      </c>
      <c r="C66" s="15">
        <v>45931</v>
      </c>
      <c r="D66" s="2" t="s">
        <v>167</v>
      </c>
      <c r="E66" s="3">
        <v>45939</v>
      </c>
      <c r="F66" s="18">
        <v>45901</v>
      </c>
      <c r="G66" s="19" t="s">
        <v>468</v>
      </c>
      <c r="H66" s="2" t="s">
        <v>168</v>
      </c>
      <c r="I66" s="2" t="s">
        <v>189</v>
      </c>
      <c r="J66" s="4" t="s">
        <v>183</v>
      </c>
      <c r="K66" s="5">
        <v>36720</v>
      </c>
      <c r="L66" s="5">
        <f t="shared" si="1"/>
        <v>6609.5999999999995</v>
      </c>
      <c r="M66" s="5">
        <f t="shared" si="2"/>
        <v>43329.599999999999</v>
      </c>
      <c r="N66" s="5">
        <f t="shared" si="3"/>
        <v>367.2</v>
      </c>
      <c r="O66" s="5">
        <f t="shared" si="4"/>
        <v>42962.400000000001</v>
      </c>
      <c r="P66" s="6" t="s">
        <v>19</v>
      </c>
      <c r="Q66" s="7" t="s">
        <v>72</v>
      </c>
    </row>
    <row r="67" spans="2:17" ht="30" x14ac:dyDescent="0.25">
      <c r="B67" s="1">
        <f t="shared" si="0"/>
        <v>66</v>
      </c>
      <c r="C67" s="15">
        <v>45931</v>
      </c>
      <c r="D67" s="2" t="s">
        <v>167</v>
      </c>
      <c r="E67" s="3">
        <v>45939</v>
      </c>
      <c r="F67" s="18">
        <v>45901</v>
      </c>
      <c r="G67" s="19" t="s">
        <v>468</v>
      </c>
      <c r="H67" s="2" t="s">
        <v>168</v>
      </c>
      <c r="I67" s="2" t="s">
        <v>190</v>
      </c>
      <c r="J67" s="4" t="s">
        <v>170</v>
      </c>
      <c r="K67" s="5">
        <v>80000</v>
      </c>
      <c r="L67" s="5">
        <f t="shared" si="1"/>
        <v>14400</v>
      </c>
      <c r="M67" s="5">
        <f t="shared" si="2"/>
        <v>94400</v>
      </c>
      <c r="N67" s="5">
        <f t="shared" si="3"/>
        <v>800</v>
      </c>
      <c r="O67" s="5">
        <f t="shared" si="4"/>
        <v>93600</v>
      </c>
      <c r="P67" s="6" t="s">
        <v>19</v>
      </c>
      <c r="Q67" s="7" t="s">
        <v>20</v>
      </c>
    </row>
    <row r="68" spans="2:17" x14ac:dyDescent="0.25">
      <c r="B68" s="1">
        <f t="shared" ref="B68:B131" si="5">B67+1</f>
        <v>67</v>
      </c>
      <c r="C68" s="15">
        <v>45931</v>
      </c>
      <c r="D68" s="2" t="s">
        <v>191</v>
      </c>
      <c r="E68" s="3">
        <v>45940</v>
      </c>
      <c r="F68" s="18">
        <v>45931</v>
      </c>
      <c r="G68" s="19" t="s">
        <v>467</v>
      </c>
      <c r="H68" s="2" t="s">
        <v>108</v>
      </c>
      <c r="I68" s="2" t="s">
        <v>192</v>
      </c>
      <c r="J68" s="4" t="s">
        <v>193</v>
      </c>
      <c r="K68" s="5">
        <v>67500</v>
      </c>
      <c r="L68" s="5">
        <v>12150</v>
      </c>
      <c r="M68" s="5">
        <v>79650</v>
      </c>
      <c r="N68" s="5">
        <v>675</v>
      </c>
      <c r="O68" s="5">
        <v>78975</v>
      </c>
      <c r="P68" s="6" t="s">
        <v>24</v>
      </c>
      <c r="Q68" s="7" t="s">
        <v>67</v>
      </c>
    </row>
    <row r="69" spans="2:17" x14ac:dyDescent="0.25">
      <c r="B69" s="1">
        <f t="shared" si="5"/>
        <v>68</v>
      </c>
      <c r="C69" s="15">
        <v>45930</v>
      </c>
      <c r="D69" s="2">
        <v>1</v>
      </c>
      <c r="E69" s="3">
        <v>45940</v>
      </c>
      <c r="F69" s="18">
        <v>45931</v>
      </c>
      <c r="G69" s="19" t="s">
        <v>467</v>
      </c>
      <c r="H69" s="2" t="s">
        <v>21</v>
      </c>
      <c r="I69" s="2" t="s">
        <v>194</v>
      </c>
      <c r="J69" s="4" t="s">
        <v>23</v>
      </c>
      <c r="K69" s="5">
        <v>1225</v>
      </c>
      <c r="L69" s="5"/>
      <c r="M69" s="5">
        <v>1225</v>
      </c>
      <c r="N69" s="5"/>
      <c r="O69" s="5">
        <v>1225</v>
      </c>
      <c r="P69" s="6" t="s">
        <v>24</v>
      </c>
      <c r="Q69" s="7" t="s">
        <v>25</v>
      </c>
    </row>
    <row r="70" spans="2:17" x14ac:dyDescent="0.25">
      <c r="B70" s="1">
        <f t="shared" si="5"/>
        <v>69</v>
      </c>
      <c r="C70" s="15">
        <v>45929</v>
      </c>
      <c r="D70" s="2">
        <v>1289</v>
      </c>
      <c r="E70" s="3">
        <v>45940</v>
      </c>
      <c r="F70" s="18">
        <v>45931</v>
      </c>
      <c r="G70" s="19" t="s">
        <v>467</v>
      </c>
      <c r="H70" s="2" t="s">
        <v>195</v>
      </c>
      <c r="I70" s="2" t="s">
        <v>196</v>
      </c>
      <c r="J70" s="4" t="s">
        <v>197</v>
      </c>
      <c r="K70" s="5">
        <v>30268</v>
      </c>
      <c r="L70" s="5">
        <v>1513.4</v>
      </c>
      <c r="M70" s="5">
        <v>31781.4</v>
      </c>
      <c r="N70" s="5"/>
      <c r="O70" s="5">
        <v>31781.4</v>
      </c>
      <c r="P70" s="6" t="s">
        <v>19</v>
      </c>
      <c r="Q70" s="7" t="s">
        <v>37</v>
      </c>
    </row>
    <row r="71" spans="2:17" x14ac:dyDescent="0.25">
      <c r="B71" s="1">
        <f t="shared" si="5"/>
        <v>70</v>
      </c>
      <c r="C71" s="15">
        <v>45937</v>
      </c>
      <c r="D71" s="2">
        <v>2554</v>
      </c>
      <c r="E71" s="3">
        <v>45952</v>
      </c>
      <c r="F71" s="18">
        <v>45931</v>
      </c>
      <c r="G71" s="19" t="s">
        <v>467</v>
      </c>
      <c r="H71" s="2" t="s">
        <v>198</v>
      </c>
      <c r="I71" s="2" t="s">
        <v>199</v>
      </c>
      <c r="J71" s="4" t="s">
        <v>200</v>
      </c>
      <c r="K71" s="5">
        <v>8953</v>
      </c>
      <c r="L71" s="5">
        <v>1116</v>
      </c>
      <c r="M71" s="5">
        <v>10069</v>
      </c>
      <c r="N71" s="5"/>
      <c r="O71" s="5">
        <v>10069</v>
      </c>
      <c r="P71" s="6" t="s">
        <v>24</v>
      </c>
      <c r="Q71" s="7" t="s">
        <v>72</v>
      </c>
    </row>
    <row r="72" spans="2:17" x14ac:dyDescent="0.25">
      <c r="B72" s="1">
        <f t="shared" si="5"/>
        <v>71</v>
      </c>
      <c r="C72" s="15">
        <v>45945</v>
      </c>
      <c r="D72" s="2">
        <v>1</v>
      </c>
      <c r="E72" s="3">
        <v>45952</v>
      </c>
      <c r="F72" s="18">
        <v>45931</v>
      </c>
      <c r="G72" s="19" t="s">
        <v>467</v>
      </c>
      <c r="H72" s="2" t="s">
        <v>21</v>
      </c>
      <c r="I72" s="2" t="s">
        <v>201</v>
      </c>
      <c r="J72" s="4" t="s">
        <v>90</v>
      </c>
      <c r="K72" s="5">
        <v>1200</v>
      </c>
      <c r="L72" s="5"/>
      <c r="M72" s="5">
        <v>1200</v>
      </c>
      <c r="N72" s="5"/>
      <c r="O72" s="5">
        <v>1200</v>
      </c>
      <c r="P72" s="6" t="s">
        <v>24</v>
      </c>
      <c r="Q72" s="7" t="s">
        <v>37</v>
      </c>
    </row>
    <row r="73" spans="2:17" x14ac:dyDescent="0.25">
      <c r="B73" s="1">
        <f t="shared" si="5"/>
        <v>72</v>
      </c>
      <c r="C73" s="15">
        <v>45945</v>
      </c>
      <c r="D73" s="2">
        <v>2</v>
      </c>
      <c r="E73" s="3">
        <v>45952</v>
      </c>
      <c r="F73" s="18">
        <v>45931</v>
      </c>
      <c r="G73" s="19" t="s">
        <v>467</v>
      </c>
      <c r="H73" s="2" t="s">
        <v>21</v>
      </c>
      <c r="I73" s="2" t="s">
        <v>202</v>
      </c>
      <c r="J73" s="4" t="s">
        <v>23</v>
      </c>
      <c r="K73" s="5">
        <v>736</v>
      </c>
      <c r="L73" s="5"/>
      <c r="M73" s="5">
        <v>736</v>
      </c>
      <c r="N73" s="5"/>
      <c r="O73" s="5">
        <v>736</v>
      </c>
      <c r="P73" s="6" t="s">
        <v>24</v>
      </c>
      <c r="Q73" s="7" t="s">
        <v>25</v>
      </c>
    </row>
    <row r="74" spans="2:17" x14ac:dyDescent="0.25">
      <c r="B74" s="1">
        <f t="shared" si="5"/>
        <v>73</v>
      </c>
      <c r="C74" s="15">
        <v>45931</v>
      </c>
      <c r="D74" s="2" t="s">
        <v>203</v>
      </c>
      <c r="E74" s="3">
        <v>45952</v>
      </c>
      <c r="F74" s="18">
        <v>45901</v>
      </c>
      <c r="G74" s="19" t="s">
        <v>468</v>
      </c>
      <c r="H74" s="2" t="s">
        <v>204</v>
      </c>
      <c r="I74" s="2" t="s">
        <v>205</v>
      </c>
      <c r="J74" s="4" t="s">
        <v>206</v>
      </c>
      <c r="K74" s="5">
        <v>8980</v>
      </c>
      <c r="L74" s="5">
        <v>1617</v>
      </c>
      <c r="M74" s="5">
        <v>10597</v>
      </c>
      <c r="N74" s="5">
        <v>180</v>
      </c>
      <c r="O74" s="5">
        <v>10417</v>
      </c>
      <c r="P74" s="6" t="s">
        <v>19</v>
      </c>
      <c r="Q74" s="7" t="s">
        <v>37</v>
      </c>
    </row>
    <row r="75" spans="2:17" x14ac:dyDescent="0.25">
      <c r="B75" s="1">
        <f t="shared" si="5"/>
        <v>74</v>
      </c>
      <c r="C75" s="15">
        <v>45948</v>
      </c>
      <c r="D75" s="2" t="s">
        <v>207</v>
      </c>
      <c r="E75" s="3">
        <v>45952</v>
      </c>
      <c r="F75" s="18">
        <v>45931</v>
      </c>
      <c r="G75" s="19" t="s">
        <v>467</v>
      </c>
      <c r="H75" s="2" t="s">
        <v>33</v>
      </c>
      <c r="I75" s="2" t="s">
        <v>208</v>
      </c>
      <c r="J75" s="4" t="s">
        <v>209</v>
      </c>
      <c r="K75" s="5">
        <v>83500</v>
      </c>
      <c r="L75" s="5">
        <v>15030</v>
      </c>
      <c r="M75" s="5">
        <v>98530</v>
      </c>
      <c r="N75" s="5">
        <v>835</v>
      </c>
      <c r="O75" s="5">
        <v>97695</v>
      </c>
      <c r="P75" s="6" t="s">
        <v>36</v>
      </c>
      <c r="Q75" s="7" t="s">
        <v>37</v>
      </c>
    </row>
    <row r="76" spans="2:17" x14ac:dyDescent="0.25">
      <c r="B76" s="1">
        <f t="shared" si="5"/>
        <v>75</v>
      </c>
      <c r="C76" s="15">
        <v>45926</v>
      </c>
      <c r="D76" s="2" t="s">
        <v>73</v>
      </c>
      <c r="E76" s="3">
        <v>45952</v>
      </c>
      <c r="F76" s="18">
        <v>45931</v>
      </c>
      <c r="G76" s="19" t="s">
        <v>467</v>
      </c>
      <c r="H76" s="2" t="s">
        <v>33</v>
      </c>
      <c r="I76" s="2" t="s">
        <v>210</v>
      </c>
      <c r="J76" s="4" t="s">
        <v>211</v>
      </c>
      <c r="K76" s="5">
        <v>865425</v>
      </c>
      <c r="L76" s="5">
        <v>155777</v>
      </c>
      <c r="M76" s="5">
        <v>1021202</v>
      </c>
      <c r="N76" s="5">
        <v>8654</v>
      </c>
      <c r="O76" s="5">
        <v>510601</v>
      </c>
      <c r="P76" s="6" t="s">
        <v>36</v>
      </c>
      <c r="Q76" s="7" t="s">
        <v>37</v>
      </c>
    </row>
    <row r="77" spans="2:17" x14ac:dyDescent="0.25">
      <c r="B77" s="1">
        <f t="shared" si="5"/>
        <v>76</v>
      </c>
      <c r="C77" s="15">
        <v>45940</v>
      </c>
      <c r="D77" s="2">
        <v>1</v>
      </c>
      <c r="E77" s="3">
        <v>45952</v>
      </c>
      <c r="F77" s="18">
        <v>45931</v>
      </c>
      <c r="G77" s="19" t="s">
        <v>467</v>
      </c>
      <c r="H77" s="2" t="s">
        <v>21</v>
      </c>
      <c r="I77" s="2" t="s">
        <v>212</v>
      </c>
      <c r="J77" s="4" t="s">
        <v>90</v>
      </c>
      <c r="K77" s="5">
        <v>6926</v>
      </c>
      <c r="L77" s="5"/>
      <c r="M77" s="5">
        <v>6926</v>
      </c>
      <c r="N77" s="5"/>
      <c r="O77" s="5">
        <v>6926</v>
      </c>
      <c r="P77" s="6" t="s">
        <v>24</v>
      </c>
      <c r="Q77" s="7" t="s">
        <v>37</v>
      </c>
    </row>
    <row r="78" spans="2:17" x14ac:dyDescent="0.25">
      <c r="B78" s="1">
        <f t="shared" si="5"/>
        <v>77</v>
      </c>
      <c r="C78" s="15">
        <v>45940</v>
      </c>
      <c r="D78" s="2">
        <v>2</v>
      </c>
      <c r="E78" s="3">
        <v>45952</v>
      </c>
      <c r="F78" s="18">
        <v>45931</v>
      </c>
      <c r="G78" s="19" t="s">
        <v>467</v>
      </c>
      <c r="H78" s="2" t="s">
        <v>21</v>
      </c>
      <c r="I78" s="2" t="s">
        <v>213</v>
      </c>
      <c r="J78" s="4" t="s">
        <v>90</v>
      </c>
      <c r="K78" s="5">
        <v>3080</v>
      </c>
      <c r="L78" s="5"/>
      <c r="M78" s="5">
        <v>3080</v>
      </c>
      <c r="N78" s="5"/>
      <c r="O78" s="5">
        <v>3080</v>
      </c>
      <c r="P78" s="6" t="s">
        <v>24</v>
      </c>
      <c r="Q78" s="7" t="s">
        <v>37</v>
      </c>
    </row>
    <row r="79" spans="2:17" x14ac:dyDescent="0.25">
      <c r="B79" s="1">
        <f t="shared" si="5"/>
        <v>78</v>
      </c>
      <c r="C79" s="15">
        <v>45933</v>
      </c>
      <c r="D79" s="2" t="s">
        <v>38</v>
      </c>
      <c r="E79" s="3">
        <v>45952</v>
      </c>
      <c r="F79" s="18">
        <v>45931</v>
      </c>
      <c r="G79" s="19" t="s">
        <v>467</v>
      </c>
      <c r="H79" s="2" t="s">
        <v>33</v>
      </c>
      <c r="I79" s="2" t="s">
        <v>214</v>
      </c>
      <c r="J79" s="4" t="s">
        <v>40</v>
      </c>
      <c r="K79" s="5">
        <v>791475</v>
      </c>
      <c r="L79" s="5">
        <v>142466</v>
      </c>
      <c r="M79" s="5">
        <v>933941</v>
      </c>
      <c r="N79" s="5">
        <v>7915</v>
      </c>
      <c r="O79" s="5">
        <v>221613</v>
      </c>
      <c r="P79" s="6" t="s">
        <v>36</v>
      </c>
      <c r="Q79" s="7" t="s">
        <v>37</v>
      </c>
    </row>
    <row r="80" spans="2:17" x14ac:dyDescent="0.25">
      <c r="B80" s="1">
        <f t="shared" si="5"/>
        <v>79</v>
      </c>
      <c r="C80" s="15">
        <v>45949</v>
      </c>
      <c r="D80" s="2" t="s">
        <v>215</v>
      </c>
      <c r="E80" s="3">
        <v>45952</v>
      </c>
      <c r="F80" s="18">
        <v>45931</v>
      </c>
      <c r="G80" s="19" t="s">
        <v>467</v>
      </c>
      <c r="H80" s="2" t="s">
        <v>119</v>
      </c>
      <c r="I80" s="2" t="s">
        <v>216</v>
      </c>
      <c r="J80" s="4" t="s">
        <v>121</v>
      </c>
      <c r="K80" s="5">
        <v>595530</v>
      </c>
      <c r="L80" s="5">
        <v>107195</v>
      </c>
      <c r="M80" s="5">
        <v>702725</v>
      </c>
      <c r="N80" s="5">
        <v>11911</v>
      </c>
      <c r="O80" s="5">
        <v>690815</v>
      </c>
      <c r="P80" s="6" t="s">
        <v>24</v>
      </c>
      <c r="Q80" s="7" t="s">
        <v>37</v>
      </c>
    </row>
    <row r="81" spans="2:17" x14ac:dyDescent="0.25">
      <c r="B81" s="1">
        <f t="shared" si="5"/>
        <v>80</v>
      </c>
      <c r="C81" s="15">
        <v>45949</v>
      </c>
      <c r="D81" s="2" t="s">
        <v>217</v>
      </c>
      <c r="E81" s="3">
        <v>45952</v>
      </c>
      <c r="F81" s="18">
        <v>45931</v>
      </c>
      <c r="G81" s="19" t="s">
        <v>467</v>
      </c>
      <c r="H81" s="2" t="s">
        <v>119</v>
      </c>
      <c r="I81" s="2" t="s">
        <v>218</v>
      </c>
      <c r="J81" s="4" t="s">
        <v>121</v>
      </c>
      <c r="K81" s="5">
        <v>405300</v>
      </c>
      <c r="L81" s="5">
        <v>74034</v>
      </c>
      <c r="M81" s="5">
        <v>479334</v>
      </c>
      <c r="N81" s="5">
        <v>8106</v>
      </c>
      <c r="O81" s="5">
        <v>471228</v>
      </c>
      <c r="P81" s="6" t="s">
        <v>24</v>
      </c>
      <c r="Q81" s="7" t="s">
        <v>37</v>
      </c>
    </row>
    <row r="82" spans="2:17" x14ac:dyDescent="0.25">
      <c r="B82" s="1">
        <f t="shared" si="5"/>
        <v>81</v>
      </c>
      <c r="C82" s="15">
        <v>45952</v>
      </c>
      <c r="D82" s="2" t="s">
        <v>219</v>
      </c>
      <c r="E82" s="3">
        <v>45955</v>
      </c>
      <c r="F82" s="18">
        <v>45931</v>
      </c>
      <c r="G82" s="19" t="s">
        <v>467</v>
      </c>
      <c r="H82" s="2" t="s">
        <v>86</v>
      </c>
      <c r="I82" s="2" t="s">
        <v>220</v>
      </c>
      <c r="J82" s="4" t="s">
        <v>221</v>
      </c>
      <c r="K82" s="5">
        <v>5600</v>
      </c>
      <c r="L82" s="5">
        <v>1008</v>
      </c>
      <c r="M82" s="5">
        <v>6608</v>
      </c>
      <c r="N82" s="5"/>
      <c r="O82" s="5">
        <v>6608</v>
      </c>
      <c r="P82" s="6" t="s">
        <v>24</v>
      </c>
      <c r="Q82" s="7" t="s">
        <v>37</v>
      </c>
    </row>
    <row r="83" spans="2:17" x14ac:dyDescent="0.25">
      <c r="B83" s="1">
        <f t="shared" si="5"/>
        <v>82</v>
      </c>
      <c r="C83" s="15">
        <v>45950</v>
      </c>
      <c r="D83" s="2" t="s">
        <v>222</v>
      </c>
      <c r="E83" s="3">
        <v>45955</v>
      </c>
      <c r="F83" s="18">
        <v>45931</v>
      </c>
      <c r="G83" s="19" t="s">
        <v>467</v>
      </c>
      <c r="H83" s="2" t="s">
        <v>86</v>
      </c>
      <c r="I83" s="2" t="s">
        <v>223</v>
      </c>
      <c r="J83" s="4" t="s">
        <v>224</v>
      </c>
      <c r="K83" s="5">
        <v>29800</v>
      </c>
      <c r="L83" s="5">
        <v>5364</v>
      </c>
      <c r="M83" s="5">
        <v>35164</v>
      </c>
      <c r="N83" s="5"/>
      <c r="O83" s="5">
        <v>35164</v>
      </c>
      <c r="P83" s="6" t="s">
        <v>36</v>
      </c>
      <c r="Q83" s="7" t="s">
        <v>37</v>
      </c>
    </row>
    <row r="84" spans="2:17" x14ac:dyDescent="0.25">
      <c r="B84" s="1">
        <f t="shared" si="5"/>
        <v>83</v>
      </c>
      <c r="C84" s="15">
        <v>45952</v>
      </c>
      <c r="D84" s="2" t="s">
        <v>73</v>
      </c>
      <c r="E84" s="3">
        <v>45955</v>
      </c>
      <c r="F84" s="18">
        <v>45931</v>
      </c>
      <c r="G84" s="19" t="s">
        <v>467</v>
      </c>
      <c r="H84" s="2" t="s">
        <v>225</v>
      </c>
      <c r="I84" s="2" t="s">
        <v>226</v>
      </c>
      <c r="J84" s="4" t="s">
        <v>227</v>
      </c>
      <c r="K84" s="5">
        <v>39750</v>
      </c>
      <c r="L84" s="5">
        <v>7155</v>
      </c>
      <c r="M84" s="5">
        <v>46905</v>
      </c>
      <c r="N84" s="5">
        <v>398</v>
      </c>
      <c r="O84" s="5">
        <v>19478</v>
      </c>
      <c r="P84" s="6" t="s">
        <v>36</v>
      </c>
      <c r="Q84" s="7" t="s">
        <v>106</v>
      </c>
    </row>
    <row r="85" spans="2:17" x14ac:dyDescent="0.25">
      <c r="B85" s="1">
        <f t="shared" si="5"/>
        <v>84</v>
      </c>
      <c r="C85" s="15">
        <v>45952</v>
      </c>
      <c r="D85" s="2" t="s">
        <v>73</v>
      </c>
      <c r="E85" s="3">
        <v>45955</v>
      </c>
      <c r="F85" s="18">
        <v>45931</v>
      </c>
      <c r="G85" s="19" t="s">
        <v>467</v>
      </c>
      <c r="H85" s="2" t="s">
        <v>225</v>
      </c>
      <c r="I85" s="2" t="s">
        <v>228</v>
      </c>
      <c r="J85" s="4" t="s">
        <v>227</v>
      </c>
      <c r="K85" s="5">
        <v>36750</v>
      </c>
      <c r="L85" s="5">
        <v>6615</v>
      </c>
      <c r="M85" s="5">
        <v>43365</v>
      </c>
      <c r="N85" s="5">
        <v>368</v>
      </c>
      <c r="O85" s="5">
        <v>18008</v>
      </c>
      <c r="P85" s="6" t="s">
        <v>36</v>
      </c>
      <c r="Q85" s="7" t="s">
        <v>106</v>
      </c>
    </row>
    <row r="86" spans="2:17" x14ac:dyDescent="0.25">
      <c r="B86" s="1">
        <f t="shared" si="5"/>
        <v>85</v>
      </c>
      <c r="C86" s="15">
        <v>45952</v>
      </c>
      <c r="D86" s="2" t="s">
        <v>73</v>
      </c>
      <c r="E86" s="3">
        <v>45955</v>
      </c>
      <c r="F86" s="18">
        <v>45931</v>
      </c>
      <c r="G86" s="19" t="s">
        <v>467</v>
      </c>
      <c r="H86" s="2" t="s">
        <v>225</v>
      </c>
      <c r="I86" s="2" t="s">
        <v>229</v>
      </c>
      <c r="J86" s="4" t="s">
        <v>227</v>
      </c>
      <c r="K86" s="5">
        <v>30000</v>
      </c>
      <c r="L86" s="5">
        <v>5400</v>
      </c>
      <c r="M86" s="5">
        <v>35400</v>
      </c>
      <c r="N86" s="5">
        <v>300</v>
      </c>
      <c r="O86" s="5">
        <v>14700</v>
      </c>
      <c r="P86" s="6" t="s">
        <v>36</v>
      </c>
      <c r="Q86" s="7" t="s">
        <v>106</v>
      </c>
    </row>
    <row r="87" spans="2:17" x14ac:dyDescent="0.25">
      <c r="B87" s="1">
        <f t="shared" si="5"/>
        <v>86</v>
      </c>
      <c r="C87" s="15">
        <v>45948</v>
      </c>
      <c r="D87" s="2">
        <v>1</v>
      </c>
      <c r="E87" s="3">
        <v>45955</v>
      </c>
      <c r="F87" s="18">
        <v>45931</v>
      </c>
      <c r="G87" s="19" t="s">
        <v>467</v>
      </c>
      <c r="H87" s="2" t="s">
        <v>21</v>
      </c>
      <c r="I87" s="2" t="s">
        <v>230</v>
      </c>
      <c r="J87" s="4" t="s">
        <v>90</v>
      </c>
      <c r="K87" s="5">
        <v>1600</v>
      </c>
      <c r="L87" s="5"/>
      <c r="M87" s="5">
        <v>1600</v>
      </c>
      <c r="N87" s="5"/>
      <c r="O87" s="5">
        <v>1600</v>
      </c>
      <c r="P87" s="6" t="s">
        <v>24</v>
      </c>
      <c r="Q87" s="7" t="s">
        <v>37</v>
      </c>
    </row>
    <row r="88" spans="2:17" x14ac:dyDescent="0.25">
      <c r="B88" s="1">
        <f t="shared" si="5"/>
        <v>87</v>
      </c>
      <c r="C88" s="15">
        <v>45949</v>
      </c>
      <c r="D88" s="2">
        <v>886</v>
      </c>
      <c r="E88" s="3">
        <v>45955</v>
      </c>
      <c r="F88" s="18">
        <v>45931</v>
      </c>
      <c r="G88" s="19" t="s">
        <v>467</v>
      </c>
      <c r="H88" s="2" t="s">
        <v>231</v>
      </c>
      <c r="I88" s="2" t="s">
        <v>232</v>
      </c>
      <c r="J88" s="4" t="s">
        <v>23</v>
      </c>
      <c r="K88" s="5">
        <v>1186</v>
      </c>
      <c r="L88" s="5">
        <v>213</v>
      </c>
      <c r="M88" s="5">
        <v>1399</v>
      </c>
      <c r="N88" s="5"/>
      <c r="O88" s="5">
        <v>1399</v>
      </c>
      <c r="P88" s="6" t="s">
        <v>24</v>
      </c>
      <c r="Q88" s="7" t="s">
        <v>25</v>
      </c>
    </row>
    <row r="89" spans="2:17" x14ac:dyDescent="0.25">
      <c r="B89" s="1">
        <f t="shared" si="5"/>
        <v>88</v>
      </c>
      <c r="C89" s="15">
        <v>45948</v>
      </c>
      <c r="D89" s="2">
        <v>12</v>
      </c>
      <c r="E89" s="3">
        <v>45955</v>
      </c>
      <c r="F89" s="18">
        <v>45931</v>
      </c>
      <c r="G89" s="19" t="s">
        <v>467</v>
      </c>
      <c r="H89" s="2" t="s">
        <v>233</v>
      </c>
      <c r="I89" s="2" t="s">
        <v>234</v>
      </c>
      <c r="J89" s="4" t="s">
        <v>23</v>
      </c>
      <c r="K89" s="5">
        <v>93900</v>
      </c>
      <c r="L89" s="5">
        <v>16902</v>
      </c>
      <c r="M89" s="5">
        <v>110802</v>
      </c>
      <c r="N89" s="5"/>
      <c r="O89" s="5">
        <v>110802</v>
      </c>
      <c r="P89" s="6" t="s">
        <v>24</v>
      </c>
      <c r="Q89" s="7" t="s">
        <v>25</v>
      </c>
    </row>
    <row r="90" spans="2:17" x14ac:dyDescent="0.25">
      <c r="B90" s="1">
        <f t="shared" si="5"/>
        <v>89</v>
      </c>
      <c r="C90" s="15">
        <v>45931</v>
      </c>
      <c r="D90" s="2" t="s">
        <v>235</v>
      </c>
      <c r="E90" s="3">
        <v>45958</v>
      </c>
      <c r="F90" s="18">
        <v>45931</v>
      </c>
      <c r="G90" s="19" t="s">
        <v>467</v>
      </c>
      <c r="H90" s="2" t="s">
        <v>236</v>
      </c>
      <c r="I90" s="2" t="s">
        <v>237</v>
      </c>
      <c r="J90" s="4" t="s">
        <v>238</v>
      </c>
      <c r="K90" s="5">
        <v>125100</v>
      </c>
      <c r="L90" s="5">
        <v>22518</v>
      </c>
      <c r="M90" s="5">
        <v>147618</v>
      </c>
      <c r="N90" s="5">
        <v>2502</v>
      </c>
      <c r="O90" s="5">
        <f>M90-N90</f>
        <v>145116</v>
      </c>
      <c r="P90" s="6" t="s">
        <v>19</v>
      </c>
      <c r="Q90" s="7" t="s">
        <v>52</v>
      </c>
    </row>
    <row r="91" spans="2:17" x14ac:dyDescent="0.25">
      <c r="B91" s="1">
        <f t="shared" si="5"/>
        <v>90</v>
      </c>
      <c r="C91" s="15">
        <v>45948</v>
      </c>
      <c r="D91" s="2" t="s">
        <v>239</v>
      </c>
      <c r="E91" s="3">
        <v>45958</v>
      </c>
      <c r="F91" s="18">
        <v>45931</v>
      </c>
      <c r="G91" s="19" t="s">
        <v>467</v>
      </c>
      <c r="H91" s="2" t="s">
        <v>61</v>
      </c>
      <c r="I91" s="2" t="s">
        <v>240</v>
      </c>
      <c r="J91" s="4" t="s">
        <v>63</v>
      </c>
      <c r="K91" s="5">
        <v>6850</v>
      </c>
      <c r="L91" s="5">
        <v>1233</v>
      </c>
      <c r="M91" s="5">
        <v>8083</v>
      </c>
      <c r="N91" s="5">
        <v>69</v>
      </c>
      <c r="O91" s="5">
        <v>8015</v>
      </c>
      <c r="P91" s="6" t="s">
        <v>24</v>
      </c>
      <c r="Q91" s="7" t="s">
        <v>52</v>
      </c>
    </row>
    <row r="92" spans="2:17" x14ac:dyDescent="0.25">
      <c r="B92" s="1">
        <f t="shared" si="5"/>
        <v>91</v>
      </c>
      <c r="C92" s="15">
        <v>45955</v>
      </c>
      <c r="D92" s="2" t="s">
        <v>73</v>
      </c>
      <c r="E92" s="3">
        <v>45958</v>
      </c>
      <c r="F92" s="18">
        <v>45931</v>
      </c>
      <c r="G92" s="19" t="s">
        <v>467</v>
      </c>
      <c r="H92" s="2" t="s">
        <v>45</v>
      </c>
      <c r="I92" s="2" t="s">
        <v>241</v>
      </c>
      <c r="J92" s="4" t="s">
        <v>242</v>
      </c>
      <c r="K92" s="5">
        <v>505000</v>
      </c>
      <c r="L92" s="5">
        <v>90900</v>
      </c>
      <c r="M92" s="5">
        <v>595900</v>
      </c>
      <c r="N92" s="5"/>
      <c r="O92" s="5">
        <v>247450</v>
      </c>
      <c r="P92" s="6" t="s">
        <v>36</v>
      </c>
      <c r="Q92" s="7" t="s">
        <v>37</v>
      </c>
    </row>
    <row r="93" spans="2:17" x14ac:dyDescent="0.25">
      <c r="B93" s="1">
        <f t="shared" si="5"/>
        <v>92</v>
      </c>
      <c r="C93" s="15">
        <v>45916</v>
      </c>
      <c r="D93" s="2" t="s">
        <v>73</v>
      </c>
      <c r="E93" s="3">
        <v>45959</v>
      </c>
      <c r="F93" s="18">
        <v>45931</v>
      </c>
      <c r="G93" s="19" t="s">
        <v>467</v>
      </c>
      <c r="H93" s="2" t="s">
        <v>243</v>
      </c>
      <c r="I93" s="2" t="s">
        <v>244</v>
      </c>
      <c r="J93" s="4" t="s">
        <v>245</v>
      </c>
      <c r="K93" s="5">
        <v>289200</v>
      </c>
      <c r="L93" s="5">
        <f>K93*18%</f>
        <v>52056</v>
      </c>
      <c r="M93" s="5">
        <f>K93+L93</f>
        <v>341256</v>
      </c>
      <c r="N93" s="5"/>
      <c r="O93" s="5">
        <v>100000</v>
      </c>
      <c r="P93" s="6" t="s">
        <v>36</v>
      </c>
      <c r="Q93" s="7" t="s">
        <v>31</v>
      </c>
    </row>
    <row r="94" spans="2:17" x14ac:dyDescent="0.25">
      <c r="B94" s="1">
        <f t="shared" si="5"/>
        <v>93</v>
      </c>
      <c r="C94" s="15">
        <v>45957</v>
      </c>
      <c r="D94" s="2" t="s">
        <v>246</v>
      </c>
      <c r="E94" s="3">
        <v>45962</v>
      </c>
      <c r="F94" s="18">
        <v>45962</v>
      </c>
      <c r="G94" s="19" t="s">
        <v>467</v>
      </c>
      <c r="H94" s="2" t="s">
        <v>33</v>
      </c>
      <c r="I94" s="2" t="s">
        <v>247</v>
      </c>
      <c r="J94" s="4" t="s">
        <v>211</v>
      </c>
      <c r="K94" s="5">
        <v>14500</v>
      </c>
      <c r="L94" s="5">
        <f>K94*18%</f>
        <v>2610</v>
      </c>
      <c r="M94" s="5">
        <f>K94+L94</f>
        <v>17110</v>
      </c>
      <c r="N94" s="5">
        <f>K94*1%</f>
        <v>145</v>
      </c>
      <c r="O94" s="5">
        <f>M94-N94</f>
        <v>16965</v>
      </c>
      <c r="P94" s="6" t="s">
        <v>36</v>
      </c>
      <c r="Q94" s="7" t="s">
        <v>37</v>
      </c>
    </row>
    <row r="95" spans="2:17" x14ac:dyDescent="0.25">
      <c r="B95" s="1">
        <f t="shared" si="5"/>
        <v>94</v>
      </c>
      <c r="C95" s="15">
        <v>45959</v>
      </c>
      <c r="D95" s="2">
        <v>1</v>
      </c>
      <c r="E95" s="3">
        <v>45962</v>
      </c>
      <c r="F95" s="18">
        <v>45962</v>
      </c>
      <c r="G95" s="19" t="s">
        <v>467</v>
      </c>
      <c r="H95" s="2" t="s">
        <v>248</v>
      </c>
      <c r="I95" s="2" t="s">
        <v>249</v>
      </c>
      <c r="J95" s="4" t="s">
        <v>250</v>
      </c>
      <c r="K95" s="5">
        <v>4275</v>
      </c>
      <c r="L95" s="5"/>
      <c r="M95" s="5">
        <v>4275</v>
      </c>
      <c r="N95" s="5"/>
      <c r="O95" s="5">
        <v>4275</v>
      </c>
      <c r="P95" s="6" t="s">
        <v>24</v>
      </c>
      <c r="Q95" s="7" t="s">
        <v>106</v>
      </c>
    </row>
    <row r="96" spans="2:17" x14ac:dyDescent="0.25">
      <c r="B96" s="1">
        <f t="shared" si="5"/>
        <v>95</v>
      </c>
      <c r="C96" s="15">
        <v>45950</v>
      </c>
      <c r="D96" s="2" t="s">
        <v>251</v>
      </c>
      <c r="E96" s="3">
        <v>45962</v>
      </c>
      <c r="F96" s="18">
        <v>45962</v>
      </c>
      <c r="G96" s="19" t="s">
        <v>467</v>
      </c>
      <c r="H96" s="2" t="s">
        <v>116</v>
      </c>
      <c r="I96" s="2" t="s">
        <v>252</v>
      </c>
      <c r="J96" s="4" t="s">
        <v>23</v>
      </c>
      <c r="K96" s="5">
        <v>11055</v>
      </c>
      <c r="L96" s="5">
        <v>1990</v>
      </c>
      <c r="M96" s="5">
        <f>K96+L96</f>
        <v>13045</v>
      </c>
      <c r="N96" s="5">
        <v>0</v>
      </c>
      <c r="O96" s="5">
        <v>13045</v>
      </c>
      <c r="P96" s="6" t="s">
        <v>24</v>
      </c>
      <c r="Q96" s="7" t="s">
        <v>25</v>
      </c>
    </row>
    <row r="97" spans="2:17" x14ac:dyDescent="0.25">
      <c r="B97" s="1">
        <f t="shared" si="5"/>
        <v>96</v>
      </c>
      <c r="C97" s="15">
        <v>45910</v>
      </c>
      <c r="D97" s="2" t="s">
        <v>253</v>
      </c>
      <c r="E97" s="3">
        <v>45962</v>
      </c>
      <c r="F97" s="18">
        <v>45962</v>
      </c>
      <c r="G97" s="19" t="s">
        <v>467</v>
      </c>
      <c r="H97" s="2" t="s">
        <v>225</v>
      </c>
      <c r="I97" s="2" t="s">
        <v>254</v>
      </c>
      <c r="J97" s="4" t="s">
        <v>227</v>
      </c>
      <c r="K97" s="5">
        <v>39750</v>
      </c>
      <c r="L97" s="5">
        <v>7155</v>
      </c>
      <c r="M97" s="5">
        <f>K97+L97</f>
        <v>46905</v>
      </c>
      <c r="N97" s="5"/>
      <c r="O97" s="5">
        <v>27030</v>
      </c>
      <c r="P97" s="6" t="s">
        <v>36</v>
      </c>
      <c r="Q97" s="7" t="s">
        <v>106</v>
      </c>
    </row>
    <row r="98" spans="2:17" x14ac:dyDescent="0.25">
      <c r="B98" s="1">
        <f t="shared" si="5"/>
        <v>97</v>
      </c>
      <c r="C98" s="15">
        <v>45910</v>
      </c>
      <c r="D98" s="2" t="s">
        <v>255</v>
      </c>
      <c r="E98" s="3">
        <v>45962</v>
      </c>
      <c r="F98" s="18">
        <v>45962</v>
      </c>
      <c r="G98" s="19" t="s">
        <v>467</v>
      </c>
      <c r="H98" s="2" t="s">
        <v>225</v>
      </c>
      <c r="I98" s="2" t="s">
        <v>256</v>
      </c>
      <c r="J98" s="4" t="s">
        <v>227</v>
      </c>
      <c r="K98" s="5">
        <v>36750</v>
      </c>
      <c r="L98" s="5">
        <v>6615</v>
      </c>
      <c r="M98" s="5">
        <f>K98+L98</f>
        <v>43365</v>
      </c>
      <c r="N98" s="5"/>
      <c r="O98" s="5">
        <v>24990</v>
      </c>
      <c r="P98" s="6" t="s">
        <v>36</v>
      </c>
      <c r="Q98" s="7" t="s">
        <v>106</v>
      </c>
    </row>
    <row r="99" spans="2:17" x14ac:dyDescent="0.25">
      <c r="B99" s="1">
        <f t="shared" si="5"/>
        <v>98</v>
      </c>
      <c r="C99" s="15">
        <v>45910</v>
      </c>
      <c r="D99" s="2" t="s">
        <v>257</v>
      </c>
      <c r="E99" s="3">
        <v>45962</v>
      </c>
      <c r="F99" s="18">
        <v>45962</v>
      </c>
      <c r="G99" s="19" t="s">
        <v>467</v>
      </c>
      <c r="H99" s="2" t="s">
        <v>225</v>
      </c>
      <c r="I99" s="2" t="s">
        <v>258</v>
      </c>
      <c r="J99" s="4" t="s">
        <v>227</v>
      </c>
      <c r="K99" s="5">
        <v>30000</v>
      </c>
      <c r="L99" s="5">
        <v>5400</v>
      </c>
      <c r="M99" s="5">
        <f>K99+L99</f>
        <v>35400</v>
      </c>
      <c r="N99" s="5"/>
      <c r="O99" s="5">
        <v>20400</v>
      </c>
      <c r="P99" s="6" t="s">
        <v>36</v>
      </c>
      <c r="Q99" s="7" t="s">
        <v>106</v>
      </c>
    </row>
    <row r="100" spans="2:17" ht="30" x14ac:dyDescent="0.25">
      <c r="B100" s="1">
        <f t="shared" si="5"/>
        <v>99</v>
      </c>
      <c r="C100" s="15">
        <v>45726</v>
      </c>
      <c r="D100" s="2" t="s">
        <v>259</v>
      </c>
      <c r="E100" s="3">
        <v>45966</v>
      </c>
      <c r="F100" s="18">
        <v>45962</v>
      </c>
      <c r="G100" s="19" t="s">
        <v>467</v>
      </c>
      <c r="H100" s="2" t="s">
        <v>260</v>
      </c>
      <c r="I100" s="2" t="s">
        <v>261</v>
      </c>
      <c r="J100" s="4" t="s">
        <v>262</v>
      </c>
      <c r="K100" s="5">
        <v>594663</v>
      </c>
      <c r="L100" s="5">
        <v>107039</v>
      </c>
      <c r="M100" s="5">
        <v>701702</v>
      </c>
      <c r="N100" s="5">
        <v>11893</v>
      </c>
      <c r="O100" s="5">
        <v>689809</v>
      </c>
      <c r="P100" s="6" t="s">
        <v>19</v>
      </c>
      <c r="Q100" s="7" t="s">
        <v>106</v>
      </c>
    </row>
    <row r="101" spans="2:17" x14ac:dyDescent="0.25">
      <c r="B101" s="1">
        <f t="shared" si="5"/>
        <v>100</v>
      </c>
      <c r="C101" s="15">
        <v>45726</v>
      </c>
      <c r="D101" s="2" t="s">
        <v>263</v>
      </c>
      <c r="E101" s="3">
        <v>45966</v>
      </c>
      <c r="F101" s="18">
        <v>45962</v>
      </c>
      <c r="G101" s="19" t="s">
        <v>467</v>
      </c>
      <c r="H101" s="2" t="s">
        <v>260</v>
      </c>
      <c r="I101" s="2" t="s">
        <v>264</v>
      </c>
      <c r="J101" s="4" t="s">
        <v>262</v>
      </c>
      <c r="K101" s="5">
        <v>749175</v>
      </c>
      <c r="L101" s="5">
        <v>134851</v>
      </c>
      <c r="M101" s="5">
        <v>884026</v>
      </c>
      <c r="N101" s="5">
        <v>14983</v>
      </c>
      <c r="O101" s="5">
        <v>869043</v>
      </c>
      <c r="P101" s="6" t="s">
        <v>19</v>
      </c>
      <c r="Q101" s="7" t="s">
        <v>106</v>
      </c>
    </row>
    <row r="102" spans="2:17" ht="30" x14ac:dyDescent="0.25">
      <c r="B102" s="1">
        <f t="shared" si="5"/>
        <v>101</v>
      </c>
      <c r="C102" s="15">
        <v>45726</v>
      </c>
      <c r="D102" s="2" t="s">
        <v>265</v>
      </c>
      <c r="E102" s="3">
        <v>45966</v>
      </c>
      <c r="F102" s="18">
        <v>45962</v>
      </c>
      <c r="G102" s="19" t="s">
        <v>467</v>
      </c>
      <c r="H102" s="2" t="s">
        <v>260</v>
      </c>
      <c r="I102" s="2" t="s">
        <v>261</v>
      </c>
      <c r="J102" s="4" t="s">
        <v>262</v>
      </c>
      <c r="K102" s="5">
        <v>60206</v>
      </c>
      <c r="L102" s="5">
        <v>10837</v>
      </c>
      <c r="M102" s="5">
        <v>71044</v>
      </c>
      <c r="N102" s="5">
        <v>1204</v>
      </c>
      <c r="O102" s="5">
        <v>69839</v>
      </c>
      <c r="P102" s="6" t="s">
        <v>19</v>
      </c>
      <c r="Q102" s="7" t="s">
        <v>106</v>
      </c>
    </row>
    <row r="103" spans="2:17" ht="30" x14ac:dyDescent="0.25">
      <c r="B103" s="1">
        <f t="shared" si="5"/>
        <v>102</v>
      </c>
      <c r="C103" s="15">
        <v>45726</v>
      </c>
      <c r="D103" s="2" t="s">
        <v>266</v>
      </c>
      <c r="E103" s="3">
        <v>45966</v>
      </c>
      <c r="F103" s="18">
        <v>45962</v>
      </c>
      <c r="G103" s="19" t="s">
        <v>467</v>
      </c>
      <c r="H103" s="2" t="s">
        <v>260</v>
      </c>
      <c r="I103" s="2" t="s">
        <v>261</v>
      </c>
      <c r="J103" s="4" t="s">
        <v>262</v>
      </c>
      <c r="K103" s="5">
        <v>873303</v>
      </c>
      <c r="L103" s="5">
        <v>157195</v>
      </c>
      <c r="M103" s="5">
        <v>1030498</v>
      </c>
      <c r="N103" s="5">
        <v>17466</v>
      </c>
      <c r="O103" s="5">
        <v>1013031</v>
      </c>
      <c r="P103" s="6" t="s">
        <v>19</v>
      </c>
      <c r="Q103" s="7" t="s">
        <v>106</v>
      </c>
    </row>
    <row r="104" spans="2:17" ht="30" x14ac:dyDescent="0.25">
      <c r="B104" s="1">
        <f t="shared" si="5"/>
        <v>103</v>
      </c>
      <c r="C104" s="15">
        <v>45960</v>
      </c>
      <c r="D104" s="2" t="s">
        <v>267</v>
      </c>
      <c r="E104" s="3">
        <v>45966</v>
      </c>
      <c r="F104" s="18">
        <v>45931</v>
      </c>
      <c r="G104" s="19" t="s">
        <v>467</v>
      </c>
      <c r="H104" s="2" t="s">
        <v>116</v>
      </c>
      <c r="I104" s="2" t="s">
        <v>268</v>
      </c>
      <c r="J104" s="4" t="s">
        <v>23</v>
      </c>
      <c r="K104" s="5">
        <v>24600</v>
      </c>
      <c r="L104" s="5">
        <v>4428</v>
      </c>
      <c r="M104" s="5">
        <v>29028</v>
      </c>
      <c r="N104" s="5"/>
      <c r="O104" s="5">
        <v>29028</v>
      </c>
      <c r="P104" s="6" t="s">
        <v>24</v>
      </c>
      <c r="Q104" s="7" t="s">
        <v>25</v>
      </c>
    </row>
    <row r="105" spans="2:17" ht="30" x14ac:dyDescent="0.25">
      <c r="B105" s="1">
        <f t="shared" si="5"/>
        <v>104</v>
      </c>
      <c r="C105" s="15">
        <v>45958</v>
      </c>
      <c r="D105" s="2" t="s">
        <v>269</v>
      </c>
      <c r="E105" s="3">
        <v>45966</v>
      </c>
      <c r="F105" s="18">
        <v>45931</v>
      </c>
      <c r="G105" s="19" t="s">
        <v>467</v>
      </c>
      <c r="H105" s="2" t="s">
        <v>116</v>
      </c>
      <c r="I105" s="2" t="s">
        <v>270</v>
      </c>
      <c r="J105" s="4" t="s">
        <v>23</v>
      </c>
      <c r="K105" s="5">
        <v>42330</v>
      </c>
      <c r="L105" s="5">
        <v>7619</v>
      </c>
      <c r="M105" s="5">
        <v>49949</v>
      </c>
      <c r="N105" s="5"/>
      <c r="O105" s="5">
        <v>49949</v>
      </c>
      <c r="P105" s="6" t="s">
        <v>24</v>
      </c>
      <c r="Q105" s="7" t="s">
        <v>25</v>
      </c>
    </row>
    <row r="106" spans="2:17" x14ac:dyDescent="0.25">
      <c r="B106" s="1">
        <f t="shared" si="5"/>
        <v>105</v>
      </c>
      <c r="C106" s="15">
        <v>45958</v>
      </c>
      <c r="D106" s="2" t="s">
        <v>271</v>
      </c>
      <c r="E106" s="3">
        <v>45966</v>
      </c>
      <c r="F106" s="18">
        <v>45931</v>
      </c>
      <c r="G106" s="19" t="s">
        <v>467</v>
      </c>
      <c r="H106" s="2" t="s">
        <v>116</v>
      </c>
      <c r="I106" s="2" t="s">
        <v>272</v>
      </c>
      <c r="J106" s="4" t="s">
        <v>23</v>
      </c>
      <c r="K106" s="5">
        <v>11055</v>
      </c>
      <c r="L106" s="5">
        <v>1990</v>
      </c>
      <c r="M106" s="5">
        <v>13045</v>
      </c>
      <c r="N106" s="5"/>
      <c r="O106" s="5">
        <v>13045</v>
      </c>
      <c r="P106" s="6" t="s">
        <v>24</v>
      </c>
      <c r="Q106" s="7" t="s">
        <v>25</v>
      </c>
    </row>
    <row r="107" spans="2:17" x14ac:dyDescent="0.25">
      <c r="B107" s="1">
        <f t="shared" si="5"/>
        <v>106</v>
      </c>
      <c r="C107" s="15">
        <v>45961</v>
      </c>
      <c r="D107" s="2">
        <v>1</v>
      </c>
      <c r="E107" s="3">
        <v>45966</v>
      </c>
      <c r="F107" s="18">
        <v>45931</v>
      </c>
      <c r="G107" s="19" t="s">
        <v>467</v>
      </c>
      <c r="H107" s="2" t="s">
        <v>248</v>
      </c>
      <c r="I107" s="2" t="s">
        <v>273</v>
      </c>
      <c r="J107" s="4" t="s">
        <v>250</v>
      </c>
      <c r="K107" s="5">
        <v>10400</v>
      </c>
      <c r="L107" s="5"/>
      <c r="M107" s="5">
        <v>10400</v>
      </c>
      <c r="N107" s="5"/>
      <c r="O107" s="5">
        <v>10400</v>
      </c>
      <c r="P107" s="6" t="s">
        <v>24</v>
      </c>
      <c r="Q107" s="7" t="s">
        <v>106</v>
      </c>
    </row>
    <row r="108" spans="2:17" x14ac:dyDescent="0.25">
      <c r="B108" s="1">
        <f t="shared" si="5"/>
        <v>107</v>
      </c>
      <c r="C108" s="15">
        <v>45667</v>
      </c>
      <c r="D108" s="2" t="s">
        <v>274</v>
      </c>
      <c r="E108" s="3">
        <v>45966</v>
      </c>
      <c r="F108" s="18">
        <v>45931</v>
      </c>
      <c r="G108" s="19" t="s">
        <v>467</v>
      </c>
      <c r="H108" s="2" t="s">
        <v>69</v>
      </c>
      <c r="I108" s="2" t="s">
        <v>70</v>
      </c>
      <c r="J108" s="4" t="s">
        <v>275</v>
      </c>
      <c r="K108" s="5">
        <v>110000</v>
      </c>
      <c r="L108" s="5">
        <v>19800</v>
      </c>
      <c r="M108" s="5">
        <v>129800</v>
      </c>
      <c r="N108" s="5">
        <v>1100</v>
      </c>
      <c r="O108" s="5">
        <v>128700</v>
      </c>
      <c r="P108" s="6" t="s">
        <v>19</v>
      </c>
      <c r="Q108" s="7" t="s">
        <v>72</v>
      </c>
    </row>
    <row r="109" spans="2:17" ht="30" x14ac:dyDescent="0.25">
      <c r="B109" s="1">
        <f t="shared" si="5"/>
        <v>108</v>
      </c>
      <c r="C109" s="15">
        <v>45947</v>
      </c>
      <c r="D109" s="2" t="s">
        <v>276</v>
      </c>
      <c r="E109" s="3">
        <v>45966</v>
      </c>
      <c r="F109" s="18">
        <v>45931</v>
      </c>
      <c r="G109" s="19" t="s">
        <v>467</v>
      </c>
      <c r="H109" s="2" t="s">
        <v>277</v>
      </c>
      <c r="I109" s="2" t="s">
        <v>278</v>
      </c>
      <c r="J109" s="4" t="s">
        <v>279</v>
      </c>
      <c r="K109" s="5">
        <v>139062</v>
      </c>
      <c r="L109" s="5">
        <v>25031</v>
      </c>
      <c r="M109" s="5">
        <v>164093</v>
      </c>
      <c r="N109" s="5"/>
      <c r="O109" s="5">
        <v>164093</v>
      </c>
      <c r="P109" s="6" t="s">
        <v>24</v>
      </c>
      <c r="Q109" s="7" t="s">
        <v>25</v>
      </c>
    </row>
    <row r="110" spans="2:17" ht="30" x14ac:dyDescent="0.25">
      <c r="B110" s="1">
        <f t="shared" si="5"/>
        <v>109</v>
      </c>
      <c r="C110" s="15">
        <v>45895</v>
      </c>
      <c r="D110" s="2" t="s">
        <v>280</v>
      </c>
      <c r="E110" s="3">
        <v>45966</v>
      </c>
      <c r="F110" s="18">
        <v>45962</v>
      </c>
      <c r="G110" s="19" t="s">
        <v>467</v>
      </c>
      <c r="H110" s="2" t="s">
        <v>281</v>
      </c>
      <c r="I110" s="2" t="s">
        <v>282</v>
      </c>
      <c r="J110" s="4" t="s">
        <v>283</v>
      </c>
      <c r="K110" s="5">
        <v>693239</v>
      </c>
      <c r="L110" s="5">
        <v>124783</v>
      </c>
      <c r="M110" s="5">
        <v>818022</v>
      </c>
      <c r="N110" s="5">
        <v>6932</v>
      </c>
      <c r="O110" s="5">
        <v>319583</v>
      </c>
      <c r="P110" s="6" t="s">
        <v>36</v>
      </c>
      <c r="Q110" s="7" t="s">
        <v>106</v>
      </c>
    </row>
    <row r="111" spans="2:17" x14ac:dyDescent="0.25">
      <c r="B111" s="1">
        <f t="shared" si="5"/>
        <v>110</v>
      </c>
      <c r="C111" s="15">
        <v>46002</v>
      </c>
      <c r="D111" s="2" t="s">
        <v>284</v>
      </c>
      <c r="E111" s="3">
        <v>45966</v>
      </c>
      <c r="F111" s="18">
        <v>45962</v>
      </c>
      <c r="G111" s="19" t="s">
        <v>467</v>
      </c>
      <c r="H111" s="2" t="s">
        <v>285</v>
      </c>
      <c r="I111" s="2" t="s">
        <v>286</v>
      </c>
      <c r="J111" s="4" t="s">
        <v>23</v>
      </c>
      <c r="K111" s="5">
        <v>31500</v>
      </c>
      <c r="L111" s="5">
        <v>5670</v>
      </c>
      <c r="M111" s="5">
        <v>37170</v>
      </c>
      <c r="N111" s="5"/>
      <c r="O111" s="5">
        <v>37170</v>
      </c>
      <c r="P111" s="6" t="s">
        <v>24</v>
      </c>
      <c r="Q111" s="7" t="s">
        <v>25</v>
      </c>
    </row>
    <row r="112" spans="2:17" x14ac:dyDescent="0.25">
      <c r="B112" s="1">
        <f t="shared" si="5"/>
        <v>111</v>
      </c>
      <c r="C112" s="15">
        <v>45699</v>
      </c>
      <c r="D112" s="2">
        <v>1</v>
      </c>
      <c r="E112" s="3">
        <v>45968</v>
      </c>
      <c r="F112" s="18">
        <v>45962</v>
      </c>
      <c r="G112" s="19" t="s">
        <v>467</v>
      </c>
      <c r="H112" s="2" t="s">
        <v>248</v>
      </c>
      <c r="I112" s="2" t="s">
        <v>287</v>
      </c>
      <c r="J112" s="4" t="s">
        <v>250</v>
      </c>
      <c r="K112" s="5">
        <v>3200</v>
      </c>
      <c r="L112" s="5"/>
      <c r="M112" s="5">
        <v>3200</v>
      </c>
      <c r="N112" s="5"/>
      <c r="O112" s="5">
        <v>3200</v>
      </c>
      <c r="P112" s="6" t="s">
        <v>24</v>
      </c>
      <c r="Q112" s="7" t="s">
        <v>106</v>
      </c>
    </row>
    <row r="113" spans="2:17" x14ac:dyDescent="0.25">
      <c r="B113" s="1">
        <f t="shared" si="5"/>
        <v>112</v>
      </c>
      <c r="C113" s="15">
        <v>45961</v>
      </c>
      <c r="D113" s="2" t="s">
        <v>288</v>
      </c>
      <c r="E113" s="3">
        <v>45968</v>
      </c>
      <c r="F113" s="18">
        <v>45931</v>
      </c>
      <c r="G113" s="19" t="s">
        <v>467</v>
      </c>
      <c r="H113" s="2" t="s">
        <v>161</v>
      </c>
      <c r="I113" s="2" t="s">
        <v>162</v>
      </c>
      <c r="J113" s="4" t="s">
        <v>289</v>
      </c>
      <c r="K113" s="5">
        <v>21000</v>
      </c>
      <c r="L113" s="5">
        <v>3780</v>
      </c>
      <c r="M113" s="5">
        <v>24780</v>
      </c>
      <c r="N113" s="5">
        <v>210</v>
      </c>
      <c r="O113" s="5">
        <v>24570</v>
      </c>
      <c r="P113" s="6" t="s">
        <v>19</v>
      </c>
      <c r="Q113" s="7" t="s">
        <v>31</v>
      </c>
    </row>
    <row r="114" spans="2:17" x14ac:dyDescent="0.25">
      <c r="B114" s="1">
        <f t="shared" si="5"/>
        <v>113</v>
      </c>
      <c r="C114" s="15">
        <v>45758</v>
      </c>
      <c r="D114" s="2">
        <v>1</v>
      </c>
      <c r="E114" s="3">
        <v>45968</v>
      </c>
      <c r="F114" s="18">
        <v>45962</v>
      </c>
      <c r="G114" s="19" t="s">
        <v>467</v>
      </c>
      <c r="H114" s="2" t="s">
        <v>21</v>
      </c>
      <c r="I114" s="2" t="s">
        <v>290</v>
      </c>
      <c r="J114" s="4" t="s">
        <v>90</v>
      </c>
      <c r="K114" s="5">
        <v>800</v>
      </c>
      <c r="L114" s="5"/>
      <c r="M114" s="5">
        <v>800</v>
      </c>
      <c r="N114" s="5"/>
      <c r="O114" s="5">
        <v>800</v>
      </c>
      <c r="P114" s="6" t="s">
        <v>24</v>
      </c>
      <c r="Q114" s="7" t="s">
        <v>37</v>
      </c>
    </row>
    <row r="115" spans="2:17" x14ac:dyDescent="0.25">
      <c r="B115" s="1">
        <f t="shared" si="5"/>
        <v>114</v>
      </c>
      <c r="C115" s="15">
        <v>45727</v>
      </c>
      <c r="D115" s="2">
        <v>1</v>
      </c>
      <c r="E115" s="3">
        <v>45968</v>
      </c>
      <c r="F115" s="18">
        <v>45962</v>
      </c>
      <c r="G115" s="19" t="s">
        <v>467</v>
      </c>
      <c r="H115" s="2" t="s">
        <v>248</v>
      </c>
      <c r="I115" s="2" t="s">
        <v>291</v>
      </c>
      <c r="J115" s="4" t="s">
        <v>250</v>
      </c>
      <c r="K115" s="5">
        <v>6080</v>
      </c>
      <c r="L115" s="5"/>
      <c r="M115" s="5">
        <v>6080</v>
      </c>
      <c r="N115" s="5"/>
      <c r="O115" s="5">
        <v>6080</v>
      </c>
      <c r="P115" s="6" t="s">
        <v>24</v>
      </c>
      <c r="Q115" s="7" t="s">
        <v>106</v>
      </c>
    </row>
    <row r="116" spans="2:17" x14ac:dyDescent="0.25">
      <c r="B116" s="1">
        <f t="shared" si="5"/>
        <v>115</v>
      </c>
      <c r="C116" s="15">
        <v>45961</v>
      </c>
      <c r="D116" s="2">
        <v>1</v>
      </c>
      <c r="E116" s="3">
        <v>45968</v>
      </c>
      <c r="F116" s="18">
        <v>45962</v>
      </c>
      <c r="G116" s="19" t="s">
        <v>467</v>
      </c>
      <c r="H116" s="2" t="s">
        <v>21</v>
      </c>
      <c r="I116" s="2" t="s">
        <v>292</v>
      </c>
      <c r="J116" s="4" t="s">
        <v>90</v>
      </c>
      <c r="K116" s="5">
        <v>760</v>
      </c>
      <c r="L116" s="5"/>
      <c r="M116" s="5">
        <v>760</v>
      </c>
      <c r="N116" s="5"/>
      <c r="O116" s="5">
        <v>760</v>
      </c>
      <c r="P116" s="6" t="s">
        <v>24</v>
      </c>
      <c r="Q116" s="7" t="s">
        <v>37</v>
      </c>
    </row>
    <row r="117" spans="2:17" x14ac:dyDescent="0.25">
      <c r="B117" s="1">
        <f t="shared" si="5"/>
        <v>116</v>
      </c>
      <c r="C117" s="15">
        <v>45958</v>
      </c>
      <c r="D117" s="2">
        <v>1471</v>
      </c>
      <c r="E117" s="3">
        <v>45968</v>
      </c>
      <c r="F117" s="18">
        <v>45962</v>
      </c>
      <c r="G117" s="19" t="s">
        <v>467</v>
      </c>
      <c r="H117" s="2" t="s">
        <v>195</v>
      </c>
      <c r="I117" s="2" t="s">
        <v>293</v>
      </c>
      <c r="J117" s="4" t="s">
        <v>197</v>
      </c>
      <c r="K117" s="5">
        <v>19740</v>
      </c>
      <c r="L117" s="5">
        <v>987</v>
      </c>
      <c r="M117" s="5">
        <v>20727</v>
      </c>
      <c r="N117" s="5"/>
      <c r="O117" s="5">
        <v>20727</v>
      </c>
      <c r="P117" s="6" t="s">
        <v>19</v>
      </c>
      <c r="Q117" s="7" t="s">
        <v>37</v>
      </c>
    </row>
    <row r="118" spans="2:17" x14ac:dyDescent="0.25">
      <c r="B118" s="1">
        <f t="shared" si="5"/>
        <v>117</v>
      </c>
      <c r="C118" s="15">
        <v>45961</v>
      </c>
      <c r="D118" s="2">
        <v>2</v>
      </c>
      <c r="E118" s="3">
        <v>45968</v>
      </c>
      <c r="F118" s="18">
        <v>45962</v>
      </c>
      <c r="G118" s="19" t="s">
        <v>467</v>
      </c>
      <c r="H118" s="2" t="s">
        <v>21</v>
      </c>
      <c r="I118" s="2" t="s">
        <v>294</v>
      </c>
      <c r="J118" s="4" t="s">
        <v>90</v>
      </c>
      <c r="K118" s="5">
        <v>1350</v>
      </c>
      <c r="L118" s="5"/>
      <c r="M118" s="5">
        <v>1350</v>
      </c>
      <c r="N118" s="5"/>
      <c r="O118" s="5">
        <v>1350</v>
      </c>
      <c r="P118" s="6" t="s">
        <v>24</v>
      </c>
      <c r="Q118" s="7" t="s">
        <v>37</v>
      </c>
    </row>
    <row r="119" spans="2:17" ht="30" x14ac:dyDescent="0.25">
      <c r="B119" s="1">
        <f t="shared" si="5"/>
        <v>118</v>
      </c>
      <c r="C119" s="15">
        <v>45819</v>
      </c>
      <c r="D119" s="2">
        <v>631</v>
      </c>
      <c r="E119" s="3">
        <v>45968</v>
      </c>
      <c r="F119" s="18">
        <v>45962</v>
      </c>
      <c r="G119" s="19" t="s">
        <v>467</v>
      </c>
      <c r="H119" s="2" t="s">
        <v>42</v>
      </c>
      <c r="I119" s="2" t="s">
        <v>295</v>
      </c>
      <c r="J119" s="4" t="s">
        <v>44</v>
      </c>
      <c r="K119" s="5">
        <v>349800</v>
      </c>
      <c r="L119" s="5">
        <v>62964</v>
      </c>
      <c r="M119" s="5">
        <v>412764</v>
      </c>
      <c r="N119" s="5">
        <v>3498</v>
      </c>
      <c r="O119" s="5">
        <v>117924</v>
      </c>
      <c r="P119" s="6" t="s">
        <v>24</v>
      </c>
      <c r="Q119" s="7" t="s">
        <v>37</v>
      </c>
    </row>
    <row r="120" spans="2:17" x14ac:dyDescent="0.25">
      <c r="B120" s="1">
        <f t="shared" si="5"/>
        <v>119</v>
      </c>
      <c r="C120" s="15">
        <v>45957</v>
      </c>
      <c r="D120" s="2">
        <v>2600</v>
      </c>
      <c r="E120" s="3">
        <v>45969</v>
      </c>
      <c r="F120" s="18">
        <v>45962</v>
      </c>
      <c r="G120" s="19" t="s">
        <v>467</v>
      </c>
      <c r="H120" s="2" t="s">
        <v>296</v>
      </c>
      <c r="I120" s="2" t="s">
        <v>297</v>
      </c>
      <c r="J120" s="4" t="s">
        <v>298</v>
      </c>
      <c r="K120" s="5">
        <v>29000</v>
      </c>
      <c r="L120" s="5"/>
      <c r="M120" s="5">
        <v>29000</v>
      </c>
      <c r="N120" s="5"/>
      <c r="O120" s="5">
        <v>29000</v>
      </c>
      <c r="P120" s="6" t="s">
        <v>24</v>
      </c>
      <c r="Q120" s="7" t="s">
        <v>188</v>
      </c>
    </row>
    <row r="121" spans="2:17" x14ac:dyDescent="0.25">
      <c r="B121" s="1">
        <f t="shared" si="5"/>
        <v>120</v>
      </c>
      <c r="C121" s="15">
        <v>45727</v>
      </c>
      <c r="D121" s="2" t="s">
        <v>299</v>
      </c>
      <c r="E121" s="3">
        <v>45969</v>
      </c>
      <c r="F121" s="18">
        <v>45962</v>
      </c>
      <c r="G121" s="19" t="s">
        <v>467</v>
      </c>
      <c r="H121" s="2" t="s">
        <v>61</v>
      </c>
      <c r="I121" s="2" t="s">
        <v>300</v>
      </c>
      <c r="J121" s="4" t="s">
        <v>301</v>
      </c>
      <c r="K121" s="5">
        <v>7500</v>
      </c>
      <c r="L121" s="5">
        <v>1350</v>
      </c>
      <c r="M121" s="5">
        <v>8850</v>
      </c>
      <c r="N121" s="5">
        <v>75</v>
      </c>
      <c r="O121" s="5">
        <v>8775</v>
      </c>
      <c r="P121" s="6" t="s">
        <v>19</v>
      </c>
      <c r="Q121" s="7" t="s">
        <v>52</v>
      </c>
    </row>
    <row r="122" spans="2:17" x14ac:dyDescent="0.25">
      <c r="B122" s="1">
        <f t="shared" si="5"/>
        <v>121</v>
      </c>
      <c r="C122" s="15">
        <v>45819</v>
      </c>
      <c r="D122" s="2">
        <v>1</v>
      </c>
      <c r="E122" s="3">
        <v>45969</v>
      </c>
      <c r="F122" s="18">
        <v>45962</v>
      </c>
      <c r="G122" s="19" t="s">
        <v>467</v>
      </c>
      <c r="H122" s="2" t="s">
        <v>248</v>
      </c>
      <c r="I122" s="2" t="s">
        <v>302</v>
      </c>
      <c r="J122" s="4" t="s">
        <v>303</v>
      </c>
      <c r="K122" s="5">
        <v>2010</v>
      </c>
      <c r="L122" s="5"/>
      <c r="M122" s="5">
        <v>2010</v>
      </c>
      <c r="N122" s="5"/>
      <c r="O122" s="5">
        <v>2010</v>
      </c>
      <c r="P122" s="6" t="s">
        <v>24</v>
      </c>
      <c r="Q122" s="7" t="s">
        <v>106</v>
      </c>
    </row>
    <row r="123" spans="2:17" x14ac:dyDescent="0.25">
      <c r="B123" s="1">
        <f t="shared" si="5"/>
        <v>122</v>
      </c>
      <c r="C123" s="15">
        <v>45819</v>
      </c>
      <c r="D123" s="2">
        <v>2</v>
      </c>
      <c r="E123" s="3">
        <v>45969</v>
      </c>
      <c r="F123" s="18">
        <v>45962</v>
      </c>
      <c r="G123" s="19" t="s">
        <v>467</v>
      </c>
      <c r="H123" s="2" t="s">
        <v>248</v>
      </c>
      <c r="I123" s="2" t="s">
        <v>304</v>
      </c>
      <c r="J123" s="4" t="s">
        <v>303</v>
      </c>
      <c r="K123" s="5">
        <v>15300</v>
      </c>
      <c r="L123" s="5"/>
      <c r="M123" s="5">
        <v>15300</v>
      </c>
      <c r="N123" s="5"/>
      <c r="O123" s="5">
        <v>15300</v>
      </c>
      <c r="P123" s="6" t="s">
        <v>24</v>
      </c>
      <c r="Q123" s="7" t="s">
        <v>106</v>
      </c>
    </row>
    <row r="124" spans="2:17" x14ac:dyDescent="0.25">
      <c r="B124" s="1">
        <f t="shared" si="5"/>
        <v>123</v>
      </c>
      <c r="C124" s="15">
        <v>45758</v>
      </c>
      <c r="D124" s="2" t="s">
        <v>73</v>
      </c>
      <c r="E124" s="3">
        <v>45969</v>
      </c>
      <c r="F124" s="18">
        <v>45962</v>
      </c>
      <c r="G124" s="19" t="s">
        <v>467</v>
      </c>
      <c r="H124" s="2" t="s">
        <v>33</v>
      </c>
      <c r="I124" s="2" t="s">
        <v>305</v>
      </c>
      <c r="J124" s="4" t="s">
        <v>306</v>
      </c>
      <c r="K124" s="5">
        <v>147900</v>
      </c>
      <c r="L124" s="5">
        <v>26622</v>
      </c>
      <c r="M124" s="5">
        <v>174522</v>
      </c>
      <c r="N124" s="5">
        <v>1479</v>
      </c>
      <c r="O124" s="5">
        <v>87261</v>
      </c>
      <c r="P124" s="6" t="s">
        <v>36</v>
      </c>
      <c r="Q124" s="7" t="s">
        <v>37</v>
      </c>
    </row>
    <row r="125" spans="2:17" x14ac:dyDescent="0.25">
      <c r="B125" s="1">
        <f t="shared" si="5"/>
        <v>124</v>
      </c>
      <c r="C125" s="15">
        <v>45699</v>
      </c>
      <c r="D125" s="2">
        <v>1561</v>
      </c>
      <c r="E125" s="3">
        <v>45971</v>
      </c>
      <c r="F125" s="18">
        <v>45962</v>
      </c>
      <c r="G125" s="19" t="s">
        <v>467</v>
      </c>
      <c r="H125" s="2" t="s">
        <v>307</v>
      </c>
      <c r="I125" s="2" t="s">
        <v>308</v>
      </c>
      <c r="J125" s="4" t="s">
        <v>308</v>
      </c>
      <c r="K125" s="5">
        <v>41550</v>
      </c>
      <c r="L125" s="5"/>
      <c r="M125" s="5">
        <v>41550</v>
      </c>
      <c r="N125" s="5"/>
      <c r="O125" s="5">
        <v>41550</v>
      </c>
      <c r="P125" s="6" t="s">
        <v>24</v>
      </c>
      <c r="Q125" s="7" t="s">
        <v>67</v>
      </c>
    </row>
    <row r="126" spans="2:17" x14ac:dyDescent="0.25">
      <c r="B126" s="1">
        <f t="shared" si="5"/>
        <v>125</v>
      </c>
      <c r="C126" s="15">
        <v>45758</v>
      </c>
      <c r="D126" s="2" t="s">
        <v>309</v>
      </c>
      <c r="E126" s="3">
        <v>45971</v>
      </c>
      <c r="F126" s="18">
        <v>45931</v>
      </c>
      <c r="G126" s="19" t="s">
        <v>467</v>
      </c>
      <c r="H126" s="2" t="s">
        <v>49</v>
      </c>
      <c r="I126" s="2" t="s">
        <v>310</v>
      </c>
      <c r="J126" s="4" t="s">
        <v>51</v>
      </c>
      <c r="K126" s="5">
        <v>1645879</v>
      </c>
      <c r="L126" s="5">
        <v>296258</v>
      </c>
      <c r="M126" s="5">
        <v>1942137</v>
      </c>
      <c r="N126" s="5">
        <v>32918</v>
      </c>
      <c r="O126" s="5">
        <v>1909220</v>
      </c>
      <c r="P126" s="6" t="s">
        <v>19</v>
      </c>
      <c r="Q126" s="7" t="s">
        <v>52</v>
      </c>
    </row>
    <row r="127" spans="2:17" x14ac:dyDescent="0.25">
      <c r="B127" s="1">
        <f t="shared" si="5"/>
        <v>126</v>
      </c>
      <c r="C127" s="15">
        <v>45758</v>
      </c>
      <c r="D127" s="2" t="s">
        <v>311</v>
      </c>
      <c r="E127" s="3">
        <v>45969</v>
      </c>
      <c r="F127" s="18">
        <v>45931</v>
      </c>
      <c r="G127" s="19" t="s">
        <v>467</v>
      </c>
      <c r="H127" s="2" t="s">
        <v>49</v>
      </c>
      <c r="I127" s="2" t="s">
        <v>312</v>
      </c>
      <c r="J127" s="4" t="s">
        <v>51</v>
      </c>
      <c r="K127" s="5">
        <v>45019</v>
      </c>
      <c r="L127" s="5">
        <v>8103</v>
      </c>
      <c r="M127" s="5">
        <v>53122</v>
      </c>
      <c r="N127" s="5">
        <v>900</v>
      </c>
      <c r="O127" s="5">
        <v>52222</v>
      </c>
      <c r="P127" s="6" t="s">
        <v>19</v>
      </c>
      <c r="Q127" s="7" t="s">
        <v>52</v>
      </c>
    </row>
    <row r="128" spans="2:17" x14ac:dyDescent="0.25">
      <c r="B128" s="1">
        <f t="shared" si="5"/>
        <v>127</v>
      </c>
      <c r="C128" s="15">
        <v>45758</v>
      </c>
      <c r="D128" s="2" t="s">
        <v>313</v>
      </c>
      <c r="E128" s="3">
        <v>45969</v>
      </c>
      <c r="F128" s="18">
        <v>45931</v>
      </c>
      <c r="G128" s="19" t="s">
        <v>467</v>
      </c>
      <c r="H128" s="2" t="s">
        <v>49</v>
      </c>
      <c r="I128" s="2" t="s">
        <v>314</v>
      </c>
      <c r="J128" s="4" t="s">
        <v>51</v>
      </c>
      <c r="K128" s="5">
        <v>161643</v>
      </c>
      <c r="L128" s="5">
        <v>29096</v>
      </c>
      <c r="M128" s="5">
        <v>190739</v>
      </c>
      <c r="N128" s="5">
        <v>3233</v>
      </c>
      <c r="O128" s="5">
        <v>187506</v>
      </c>
      <c r="P128" s="6" t="s">
        <v>19</v>
      </c>
      <c r="Q128" s="7" t="s">
        <v>52</v>
      </c>
    </row>
    <row r="129" spans="2:17" x14ac:dyDescent="0.25">
      <c r="B129" s="1">
        <f t="shared" si="5"/>
        <v>128</v>
      </c>
      <c r="C129" s="15">
        <v>45967</v>
      </c>
      <c r="D129" s="2" t="s">
        <v>315</v>
      </c>
      <c r="E129" s="3">
        <v>45971</v>
      </c>
      <c r="F129" s="18">
        <v>45962</v>
      </c>
      <c r="G129" s="19" t="s">
        <v>467</v>
      </c>
      <c r="H129" s="2" t="s">
        <v>316</v>
      </c>
      <c r="I129" s="2" t="s">
        <v>317</v>
      </c>
      <c r="J129" s="4" t="s">
        <v>318</v>
      </c>
      <c r="K129" s="5">
        <v>5000</v>
      </c>
      <c r="L129" s="5">
        <v>900</v>
      </c>
      <c r="M129" s="5">
        <v>5900</v>
      </c>
      <c r="N129" s="5">
        <v>50</v>
      </c>
      <c r="O129" s="5">
        <v>5850</v>
      </c>
      <c r="P129" s="6" t="s">
        <v>24</v>
      </c>
      <c r="Q129" s="7" t="s">
        <v>20</v>
      </c>
    </row>
    <row r="130" spans="2:17" x14ac:dyDescent="0.25">
      <c r="B130" s="1">
        <f t="shared" si="5"/>
        <v>129</v>
      </c>
      <c r="C130" s="15">
        <v>45944</v>
      </c>
      <c r="D130" s="2" t="s">
        <v>319</v>
      </c>
      <c r="E130" s="3">
        <v>45971</v>
      </c>
      <c r="F130" s="18">
        <v>45962</v>
      </c>
      <c r="G130" s="19" t="s">
        <v>467</v>
      </c>
      <c r="H130" s="2" t="s">
        <v>103</v>
      </c>
      <c r="I130" s="2" t="s">
        <v>320</v>
      </c>
      <c r="J130" s="4" t="s">
        <v>105</v>
      </c>
      <c r="K130" s="5">
        <v>48305</v>
      </c>
      <c r="L130" s="5">
        <v>8695</v>
      </c>
      <c r="M130" s="5">
        <v>57000</v>
      </c>
      <c r="N130" s="5">
        <v>549</v>
      </c>
      <c r="O130" s="5">
        <v>27455</v>
      </c>
      <c r="P130" s="6" t="s">
        <v>36</v>
      </c>
      <c r="Q130" s="7" t="s">
        <v>106</v>
      </c>
    </row>
    <row r="131" spans="2:17" x14ac:dyDescent="0.25">
      <c r="B131" s="1">
        <f t="shared" si="5"/>
        <v>130</v>
      </c>
      <c r="C131" s="15">
        <v>45964</v>
      </c>
      <c r="D131" s="2" t="s">
        <v>321</v>
      </c>
      <c r="E131" s="3">
        <v>45971</v>
      </c>
      <c r="F131" s="18">
        <v>45962</v>
      </c>
      <c r="G131" s="19" t="s">
        <v>467</v>
      </c>
      <c r="H131" s="2" t="s">
        <v>103</v>
      </c>
      <c r="I131" s="2" t="s">
        <v>322</v>
      </c>
      <c r="J131" s="4" t="s">
        <v>105</v>
      </c>
      <c r="K131" s="5">
        <v>54661</v>
      </c>
      <c r="L131" s="5">
        <v>9839</v>
      </c>
      <c r="M131" s="5">
        <v>64500</v>
      </c>
      <c r="N131" s="5">
        <v>549</v>
      </c>
      <c r="O131" s="5">
        <v>27455</v>
      </c>
      <c r="P131" s="6" t="s">
        <v>36</v>
      </c>
      <c r="Q131" s="7" t="s">
        <v>106</v>
      </c>
    </row>
    <row r="132" spans="2:17" x14ac:dyDescent="0.25">
      <c r="B132" s="1">
        <f t="shared" ref="B132:B195" si="6">B131+1</f>
        <v>131</v>
      </c>
      <c r="C132" s="15">
        <v>45964</v>
      </c>
      <c r="D132" s="2" t="s">
        <v>323</v>
      </c>
      <c r="E132" s="3">
        <v>45973</v>
      </c>
      <c r="F132" s="18">
        <v>45962</v>
      </c>
      <c r="G132" s="19" t="s">
        <v>467</v>
      </c>
      <c r="H132" s="2" t="s">
        <v>324</v>
      </c>
      <c r="I132" s="2" t="s">
        <v>325</v>
      </c>
      <c r="J132" s="4" t="s">
        <v>303</v>
      </c>
      <c r="K132" s="5">
        <v>165</v>
      </c>
      <c r="L132" s="5">
        <v>30</v>
      </c>
      <c r="M132" s="5">
        <v>195</v>
      </c>
      <c r="N132" s="5">
        <v>0</v>
      </c>
      <c r="O132" s="5">
        <v>195</v>
      </c>
      <c r="P132" s="6" t="s">
        <v>24</v>
      </c>
      <c r="Q132" s="7" t="s">
        <v>106</v>
      </c>
    </row>
    <row r="133" spans="2:17" x14ac:dyDescent="0.25">
      <c r="B133" s="1">
        <f t="shared" si="6"/>
        <v>132</v>
      </c>
      <c r="C133" s="15">
        <v>45964</v>
      </c>
      <c r="D133" s="2" t="s">
        <v>326</v>
      </c>
      <c r="E133" s="3">
        <v>45973</v>
      </c>
      <c r="F133" s="18">
        <v>45962</v>
      </c>
      <c r="G133" s="19" t="s">
        <v>467</v>
      </c>
      <c r="H133" s="2" t="s">
        <v>324</v>
      </c>
      <c r="I133" s="2" t="s">
        <v>327</v>
      </c>
      <c r="J133" s="4" t="s">
        <v>303</v>
      </c>
      <c r="K133" s="5">
        <v>2150</v>
      </c>
      <c r="L133" s="5">
        <v>387</v>
      </c>
      <c r="M133" s="5">
        <v>2537</v>
      </c>
      <c r="N133" s="5">
        <v>0</v>
      </c>
      <c r="O133" s="5">
        <v>2537</v>
      </c>
      <c r="P133" s="6" t="s">
        <v>24</v>
      </c>
      <c r="Q133" s="7" t="s">
        <v>106</v>
      </c>
    </row>
    <row r="134" spans="2:17" x14ac:dyDescent="0.25">
      <c r="B134" s="1">
        <f t="shared" si="6"/>
        <v>133</v>
      </c>
      <c r="C134" s="15">
        <v>45966</v>
      </c>
      <c r="D134" s="2">
        <v>1669</v>
      </c>
      <c r="E134" s="3">
        <v>45973</v>
      </c>
      <c r="F134" s="18">
        <v>45962</v>
      </c>
      <c r="G134" s="19" t="s">
        <v>467</v>
      </c>
      <c r="H134" s="2" t="s">
        <v>307</v>
      </c>
      <c r="I134" s="2" t="s">
        <v>328</v>
      </c>
      <c r="J134" s="4" t="s">
        <v>308</v>
      </c>
      <c r="K134" s="5">
        <v>12000</v>
      </c>
      <c r="L134" s="5"/>
      <c r="M134" s="5">
        <v>12000</v>
      </c>
      <c r="N134" s="5">
        <v>0</v>
      </c>
      <c r="O134" s="5">
        <v>12000</v>
      </c>
      <c r="P134" s="6" t="s">
        <v>24</v>
      </c>
      <c r="Q134" s="7" t="s">
        <v>67</v>
      </c>
    </row>
    <row r="135" spans="2:17" x14ac:dyDescent="0.25">
      <c r="B135" s="1">
        <f t="shared" si="6"/>
        <v>134</v>
      </c>
      <c r="C135" s="15">
        <v>45968</v>
      </c>
      <c r="D135" s="2">
        <v>1</v>
      </c>
      <c r="E135" s="3">
        <v>45973</v>
      </c>
      <c r="F135" s="18">
        <v>45962</v>
      </c>
      <c r="G135" s="19" t="s">
        <v>467</v>
      </c>
      <c r="H135" s="2" t="s">
        <v>329</v>
      </c>
      <c r="I135" s="2" t="s">
        <v>330</v>
      </c>
      <c r="J135" s="4" t="s">
        <v>331</v>
      </c>
      <c r="K135" s="5">
        <v>14000</v>
      </c>
      <c r="L135" s="5"/>
      <c r="M135" s="5">
        <v>14000</v>
      </c>
      <c r="N135" s="5">
        <v>0</v>
      </c>
      <c r="O135" s="5">
        <v>14000</v>
      </c>
      <c r="P135" s="6" t="s">
        <v>24</v>
      </c>
      <c r="Q135" s="7" t="s">
        <v>106</v>
      </c>
    </row>
    <row r="136" spans="2:17" x14ac:dyDescent="0.25">
      <c r="B136" s="1">
        <f t="shared" si="6"/>
        <v>135</v>
      </c>
      <c r="C136" s="15">
        <v>45966</v>
      </c>
      <c r="D136" s="2">
        <v>705</v>
      </c>
      <c r="E136" s="3">
        <v>45973</v>
      </c>
      <c r="F136" s="18">
        <v>45962</v>
      </c>
      <c r="G136" s="19" t="s">
        <v>467</v>
      </c>
      <c r="H136" s="2" t="s">
        <v>332</v>
      </c>
      <c r="I136" s="2" t="s">
        <v>333</v>
      </c>
      <c r="J136" s="4" t="s">
        <v>303</v>
      </c>
      <c r="K136" s="5">
        <v>3500</v>
      </c>
      <c r="L136" s="5">
        <v>630</v>
      </c>
      <c r="M136" s="5">
        <v>4130</v>
      </c>
      <c r="N136" s="5">
        <v>0</v>
      </c>
      <c r="O136" s="5">
        <v>4130</v>
      </c>
      <c r="P136" s="6" t="s">
        <v>24</v>
      </c>
      <c r="Q136" s="7" t="s">
        <v>106</v>
      </c>
    </row>
    <row r="137" spans="2:17" x14ac:dyDescent="0.25">
      <c r="B137" s="1">
        <f t="shared" si="6"/>
        <v>136</v>
      </c>
      <c r="C137" s="15">
        <v>45968</v>
      </c>
      <c r="D137" s="2">
        <v>1</v>
      </c>
      <c r="E137" s="3">
        <v>45973</v>
      </c>
      <c r="F137" s="18">
        <v>45962</v>
      </c>
      <c r="G137" s="19" t="s">
        <v>467</v>
      </c>
      <c r="H137" s="2" t="s">
        <v>21</v>
      </c>
      <c r="I137" s="2" t="s">
        <v>334</v>
      </c>
      <c r="J137" s="4" t="s">
        <v>23</v>
      </c>
      <c r="K137" s="5">
        <v>690</v>
      </c>
      <c r="L137" s="5"/>
      <c r="M137" s="5">
        <v>690</v>
      </c>
      <c r="N137" s="5">
        <v>0</v>
      </c>
      <c r="O137" s="5">
        <v>690</v>
      </c>
      <c r="P137" s="6" t="s">
        <v>24</v>
      </c>
      <c r="Q137" s="7" t="s">
        <v>25</v>
      </c>
    </row>
    <row r="138" spans="2:17" x14ac:dyDescent="0.25">
      <c r="B138" s="1">
        <f t="shared" si="6"/>
        <v>137</v>
      </c>
      <c r="C138" s="15">
        <v>45964</v>
      </c>
      <c r="D138" s="2">
        <v>1012</v>
      </c>
      <c r="E138" s="3">
        <v>45980</v>
      </c>
      <c r="F138" s="18">
        <v>45962</v>
      </c>
      <c r="G138" s="19" t="s">
        <v>467</v>
      </c>
      <c r="H138" s="2" t="s">
        <v>26</v>
      </c>
      <c r="I138" s="2" t="s">
        <v>335</v>
      </c>
      <c r="J138" s="4" t="s">
        <v>23</v>
      </c>
      <c r="K138" s="5">
        <v>10715</v>
      </c>
      <c r="L138" s="5">
        <v>1929</v>
      </c>
      <c r="M138" s="5">
        <v>12644</v>
      </c>
      <c r="N138" s="5">
        <v>0</v>
      </c>
      <c r="O138" s="5">
        <v>12644</v>
      </c>
      <c r="P138" s="6" t="s">
        <v>24</v>
      </c>
      <c r="Q138" s="7" t="s">
        <v>25</v>
      </c>
    </row>
    <row r="139" spans="2:17" x14ac:dyDescent="0.25">
      <c r="B139" s="1">
        <f t="shared" si="6"/>
        <v>138</v>
      </c>
      <c r="C139" s="15">
        <v>45964</v>
      </c>
      <c r="D139" s="2" t="s">
        <v>336</v>
      </c>
      <c r="E139" s="3">
        <v>45973</v>
      </c>
      <c r="F139" s="18">
        <v>45962</v>
      </c>
      <c r="G139" s="19" t="s">
        <v>467</v>
      </c>
      <c r="H139" s="2" t="s">
        <v>324</v>
      </c>
      <c r="I139" s="2" t="s">
        <v>337</v>
      </c>
      <c r="J139" s="4" t="s">
        <v>303</v>
      </c>
      <c r="K139" s="5">
        <v>2460</v>
      </c>
      <c r="L139" s="5">
        <v>483</v>
      </c>
      <c r="M139" s="5">
        <v>3443</v>
      </c>
      <c r="N139" s="5">
        <v>0</v>
      </c>
      <c r="O139" s="5">
        <v>3443</v>
      </c>
      <c r="P139" s="6" t="s">
        <v>24</v>
      </c>
      <c r="Q139" s="7" t="s">
        <v>106</v>
      </c>
    </row>
    <row r="140" spans="2:17" ht="30" x14ac:dyDescent="0.25">
      <c r="B140" s="1">
        <f t="shared" si="6"/>
        <v>139</v>
      </c>
      <c r="C140" s="15">
        <v>45968</v>
      </c>
      <c r="D140" s="2" t="s">
        <v>102</v>
      </c>
      <c r="E140" s="3">
        <v>45973</v>
      </c>
      <c r="F140" s="18">
        <v>45962</v>
      </c>
      <c r="G140" s="19" t="s">
        <v>467</v>
      </c>
      <c r="H140" s="2" t="s">
        <v>338</v>
      </c>
      <c r="I140" s="2" t="s">
        <v>339</v>
      </c>
      <c r="J140" s="4" t="s">
        <v>105</v>
      </c>
      <c r="K140" s="5">
        <v>37712</v>
      </c>
      <c r="L140" s="5">
        <v>6788</v>
      </c>
      <c r="M140" s="5">
        <v>44500</v>
      </c>
      <c r="N140" s="5">
        <v>0</v>
      </c>
      <c r="O140" s="5">
        <v>18556</v>
      </c>
      <c r="P140" s="6" t="s">
        <v>36</v>
      </c>
      <c r="Q140" s="7" t="s">
        <v>106</v>
      </c>
    </row>
    <row r="141" spans="2:17" x14ac:dyDescent="0.25">
      <c r="B141" s="1">
        <f t="shared" si="6"/>
        <v>140</v>
      </c>
      <c r="C141" s="15">
        <v>45971</v>
      </c>
      <c r="D141" s="2">
        <v>3425</v>
      </c>
      <c r="E141" s="3">
        <v>45973</v>
      </c>
      <c r="F141" s="18">
        <v>45931</v>
      </c>
      <c r="G141" s="19" t="s">
        <v>467</v>
      </c>
      <c r="H141" s="2" t="s">
        <v>136</v>
      </c>
      <c r="I141" s="2" t="s">
        <v>340</v>
      </c>
      <c r="J141" s="4" t="s">
        <v>341</v>
      </c>
      <c r="K141" s="5">
        <v>357352</v>
      </c>
      <c r="L141" s="5">
        <v>64323</v>
      </c>
      <c r="M141" s="5">
        <v>421675</v>
      </c>
      <c r="N141" s="5">
        <v>7147</v>
      </c>
      <c r="O141" s="5">
        <v>421675</v>
      </c>
      <c r="P141" s="6" t="s">
        <v>19</v>
      </c>
      <c r="Q141" s="7" t="s">
        <v>37</v>
      </c>
    </row>
    <row r="142" spans="2:17" x14ac:dyDescent="0.25">
      <c r="B142" s="1">
        <f t="shared" si="6"/>
        <v>141</v>
      </c>
      <c r="C142" s="15">
        <v>45971</v>
      </c>
      <c r="D142" s="2">
        <v>1</v>
      </c>
      <c r="E142" s="3">
        <v>45973</v>
      </c>
      <c r="F142" s="18">
        <v>45962</v>
      </c>
      <c r="G142" s="19" t="s">
        <v>467</v>
      </c>
      <c r="H142" s="2" t="s">
        <v>248</v>
      </c>
      <c r="I142" s="2" t="s">
        <v>342</v>
      </c>
      <c r="J142" s="4" t="s">
        <v>89</v>
      </c>
      <c r="K142" s="5">
        <v>15390</v>
      </c>
      <c r="L142" s="5"/>
      <c r="M142" s="5">
        <v>15390</v>
      </c>
      <c r="N142" s="5">
        <v>0</v>
      </c>
      <c r="O142" s="5">
        <v>15390</v>
      </c>
      <c r="P142" s="6" t="s">
        <v>24</v>
      </c>
      <c r="Q142" s="7" t="s">
        <v>37</v>
      </c>
    </row>
    <row r="143" spans="2:17" x14ac:dyDescent="0.25">
      <c r="B143" s="1">
        <f t="shared" si="6"/>
        <v>142</v>
      </c>
      <c r="C143" s="15">
        <v>45972</v>
      </c>
      <c r="D143" s="2" t="s">
        <v>343</v>
      </c>
      <c r="E143" s="3">
        <v>45973</v>
      </c>
      <c r="F143" s="18">
        <v>45962</v>
      </c>
      <c r="G143" s="19" t="s">
        <v>467</v>
      </c>
      <c r="H143" s="2" t="s">
        <v>225</v>
      </c>
      <c r="I143" s="2" t="s">
        <v>344</v>
      </c>
      <c r="J143" s="4" t="s">
        <v>345</v>
      </c>
      <c r="K143" s="5">
        <v>23240</v>
      </c>
      <c r="L143" s="5">
        <v>4183</v>
      </c>
      <c r="M143" s="5">
        <v>27423</v>
      </c>
      <c r="N143" s="5">
        <v>0</v>
      </c>
      <c r="O143" s="5">
        <v>27423</v>
      </c>
      <c r="P143" s="6" t="s">
        <v>24</v>
      </c>
      <c r="Q143" s="7" t="s">
        <v>188</v>
      </c>
    </row>
    <row r="144" spans="2:17" x14ac:dyDescent="0.25">
      <c r="B144" s="1">
        <f t="shared" si="6"/>
        <v>143</v>
      </c>
      <c r="C144" s="15">
        <v>45962</v>
      </c>
      <c r="D144" s="2" t="s">
        <v>346</v>
      </c>
      <c r="E144" s="3">
        <v>45980</v>
      </c>
      <c r="F144" s="18">
        <v>45931</v>
      </c>
      <c r="G144" s="19" t="s">
        <v>467</v>
      </c>
      <c r="H144" s="2" t="s">
        <v>204</v>
      </c>
      <c r="I144" s="2" t="s">
        <v>205</v>
      </c>
      <c r="J144" s="4" t="s">
        <v>347</v>
      </c>
      <c r="K144" s="5">
        <v>8980</v>
      </c>
      <c r="L144" s="5">
        <v>1616</v>
      </c>
      <c r="M144" s="5">
        <v>10596</v>
      </c>
      <c r="N144" s="5">
        <v>180</v>
      </c>
      <c r="O144" s="5">
        <v>10417</v>
      </c>
      <c r="P144" s="6" t="s">
        <v>19</v>
      </c>
      <c r="Q144" s="7" t="s">
        <v>37</v>
      </c>
    </row>
    <row r="145" spans="2:17" x14ac:dyDescent="0.25">
      <c r="B145" s="1">
        <f t="shared" si="6"/>
        <v>144</v>
      </c>
      <c r="C145" s="15">
        <v>45968</v>
      </c>
      <c r="D145" s="2">
        <v>38</v>
      </c>
      <c r="E145" s="3">
        <v>45981</v>
      </c>
      <c r="F145" s="18">
        <v>45901</v>
      </c>
      <c r="G145" s="19" t="s">
        <v>468</v>
      </c>
      <c r="H145" s="2" t="s">
        <v>64</v>
      </c>
      <c r="I145" s="2" t="s">
        <v>348</v>
      </c>
      <c r="J145" s="4" t="s">
        <v>66</v>
      </c>
      <c r="K145" s="5">
        <v>466777</v>
      </c>
      <c r="L145" s="5">
        <v>84020</v>
      </c>
      <c r="M145" s="5">
        <v>550797</v>
      </c>
      <c r="N145" s="5">
        <v>4668</v>
      </c>
      <c r="O145" s="5">
        <v>546129</v>
      </c>
      <c r="P145" s="6" t="s">
        <v>19</v>
      </c>
      <c r="Q145" s="7" t="s">
        <v>67</v>
      </c>
    </row>
    <row r="146" spans="2:17" x14ac:dyDescent="0.25">
      <c r="B146" s="1">
        <f t="shared" si="6"/>
        <v>145</v>
      </c>
      <c r="C146" s="15">
        <v>45969</v>
      </c>
      <c r="D146" s="2" t="s">
        <v>102</v>
      </c>
      <c r="E146" s="3">
        <v>45976</v>
      </c>
      <c r="F146" s="18">
        <v>45962</v>
      </c>
      <c r="G146" s="19" t="s">
        <v>467</v>
      </c>
      <c r="H146" s="2" t="s">
        <v>349</v>
      </c>
      <c r="I146" s="2" t="s">
        <v>350</v>
      </c>
      <c r="J146" s="4" t="s">
        <v>351</v>
      </c>
      <c r="K146" s="5">
        <v>37000</v>
      </c>
      <c r="L146" s="5">
        <v>6660</v>
      </c>
      <c r="M146" s="5">
        <v>43660</v>
      </c>
      <c r="N146" s="5">
        <v>0</v>
      </c>
      <c r="O146" s="5">
        <v>37000</v>
      </c>
      <c r="P146" s="6" t="s">
        <v>36</v>
      </c>
      <c r="Q146" s="7" t="s">
        <v>31</v>
      </c>
    </row>
    <row r="147" spans="2:17" ht="30" x14ac:dyDescent="0.25">
      <c r="B147" s="1">
        <f t="shared" si="6"/>
        <v>146</v>
      </c>
      <c r="C147" s="15">
        <v>45968</v>
      </c>
      <c r="D147" s="2">
        <v>39</v>
      </c>
      <c r="E147" s="3">
        <v>45976</v>
      </c>
      <c r="F147" s="18">
        <v>45931</v>
      </c>
      <c r="G147" s="19" t="s">
        <v>467</v>
      </c>
      <c r="H147" s="2" t="s">
        <v>64</v>
      </c>
      <c r="I147" s="2" t="s">
        <v>352</v>
      </c>
      <c r="J147" s="4" t="s">
        <v>353</v>
      </c>
      <c r="K147" s="5">
        <v>464738</v>
      </c>
      <c r="L147" s="5">
        <v>83653</v>
      </c>
      <c r="M147" s="5">
        <v>548391</v>
      </c>
      <c r="N147" s="5">
        <v>4647</v>
      </c>
      <c r="O147" s="5">
        <v>543743</v>
      </c>
      <c r="P147" s="6" t="s">
        <v>19</v>
      </c>
      <c r="Q147" s="7" t="s">
        <v>67</v>
      </c>
    </row>
    <row r="148" spans="2:17" ht="30" x14ac:dyDescent="0.25">
      <c r="B148" s="1">
        <f t="shared" si="6"/>
        <v>147</v>
      </c>
      <c r="C148" s="15">
        <v>45967</v>
      </c>
      <c r="D148" s="2" t="s">
        <v>354</v>
      </c>
      <c r="E148" s="3">
        <v>45981</v>
      </c>
      <c r="F148" s="18">
        <v>45931</v>
      </c>
      <c r="G148" s="19" t="s">
        <v>467</v>
      </c>
      <c r="H148" s="2" t="s">
        <v>168</v>
      </c>
      <c r="I148" s="2" t="s">
        <v>169</v>
      </c>
      <c r="J148" s="4" t="s">
        <v>170</v>
      </c>
      <c r="K148" s="5">
        <v>81523</v>
      </c>
      <c r="L148" s="5">
        <f>K148*18%</f>
        <v>14674.14</v>
      </c>
      <c r="M148" s="5">
        <f>K148+L148</f>
        <v>96197.14</v>
      </c>
      <c r="N148" s="5">
        <f>K148*2%</f>
        <v>1630.46</v>
      </c>
      <c r="O148" s="5">
        <f>M148-N148</f>
        <v>94566.68</v>
      </c>
      <c r="P148" s="6" t="s">
        <v>19</v>
      </c>
      <c r="Q148" s="7" t="s">
        <v>20</v>
      </c>
    </row>
    <row r="149" spans="2:17" ht="30" x14ac:dyDescent="0.25">
      <c r="B149" s="1">
        <f t="shared" si="6"/>
        <v>148</v>
      </c>
      <c r="C149" s="15">
        <v>45967</v>
      </c>
      <c r="D149" s="2" t="s">
        <v>354</v>
      </c>
      <c r="E149" s="3">
        <v>45981</v>
      </c>
      <c r="F149" s="18">
        <v>45931</v>
      </c>
      <c r="G149" s="19" t="s">
        <v>467</v>
      </c>
      <c r="H149" s="2" t="s">
        <v>168</v>
      </c>
      <c r="I149" s="2" t="s">
        <v>171</v>
      </c>
      <c r="J149" s="4" t="s">
        <v>170</v>
      </c>
      <c r="K149" s="5">
        <v>59677</v>
      </c>
      <c r="L149" s="5">
        <f t="shared" ref="L149:L163" si="7">K149*18%</f>
        <v>10741.859999999999</v>
      </c>
      <c r="M149" s="5">
        <f t="shared" ref="M149:M163" si="8">K149+L149</f>
        <v>70418.86</v>
      </c>
      <c r="N149" s="5">
        <f t="shared" ref="N149:N163" si="9">K149*2%</f>
        <v>1193.54</v>
      </c>
      <c r="O149" s="5">
        <f>M149-N149</f>
        <v>69225.320000000007</v>
      </c>
      <c r="P149" s="6" t="s">
        <v>19</v>
      </c>
      <c r="Q149" s="7" t="s">
        <v>20</v>
      </c>
    </row>
    <row r="150" spans="2:17" ht="30" x14ac:dyDescent="0.25">
      <c r="B150" s="1">
        <f t="shared" si="6"/>
        <v>149</v>
      </c>
      <c r="C150" s="15">
        <v>45967</v>
      </c>
      <c r="D150" s="2" t="s">
        <v>354</v>
      </c>
      <c r="E150" s="3">
        <v>45981</v>
      </c>
      <c r="F150" s="18">
        <v>45931</v>
      </c>
      <c r="G150" s="19" t="s">
        <v>467</v>
      </c>
      <c r="H150" s="2" t="s">
        <v>168</v>
      </c>
      <c r="I150" s="2" t="s">
        <v>172</v>
      </c>
      <c r="J150" s="4" t="s">
        <v>170</v>
      </c>
      <c r="K150" s="5">
        <v>35675</v>
      </c>
      <c r="L150" s="5">
        <f t="shared" si="7"/>
        <v>6421.5</v>
      </c>
      <c r="M150" s="5">
        <f t="shared" si="8"/>
        <v>42096.5</v>
      </c>
      <c r="N150" s="5">
        <f t="shared" si="9"/>
        <v>713.5</v>
      </c>
      <c r="O150" s="5">
        <f>M150-N150</f>
        <v>41383</v>
      </c>
      <c r="P150" s="6" t="s">
        <v>19</v>
      </c>
      <c r="Q150" s="7" t="s">
        <v>20</v>
      </c>
    </row>
    <row r="151" spans="2:17" ht="30" x14ac:dyDescent="0.25">
      <c r="B151" s="1">
        <f t="shared" si="6"/>
        <v>150</v>
      </c>
      <c r="C151" s="15">
        <v>45967</v>
      </c>
      <c r="D151" s="2" t="s">
        <v>354</v>
      </c>
      <c r="E151" s="3">
        <v>45981</v>
      </c>
      <c r="F151" s="18">
        <v>45931</v>
      </c>
      <c r="G151" s="19" t="s">
        <v>467</v>
      </c>
      <c r="H151" s="2" t="s">
        <v>168</v>
      </c>
      <c r="I151" s="2" t="s">
        <v>173</v>
      </c>
      <c r="J151" s="4" t="s">
        <v>170</v>
      </c>
      <c r="K151" s="5">
        <v>58529</v>
      </c>
      <c r="L151" s="5">
        <f t="shared" si="7"/>
        <v>10535.22</v>
      </c>
      <c r="M151" s="5">
        <f t="shared" si="8"/>
        <v>69064.22</v>
      </c>
      <c r="N151" s="5">
        <f t="shared" si="9"/>
        <v>1170.58</v>
      </c>
      <c r="O151" s="5">
        <f t="shared" ref="O151:O163" si="10">M151-N151</f>
        <v>67893.64</v>
      </c>
      <c r="P151" s="6" t="s">
        <v>19</v>
      </c>
      <c r="Q151" s="7" t="s">
        <v>20</v>
      </c>
    </row>
    <row r="152" spans="2:17" ht="30" x14ac:dyDescent="0.25">
      <c r="B152" s="1">
        <f t="shared" si="6"/>
        <v>151</v>
      </c>
      <c r="C152" s="15">
        <v>45967</v>
      </c>
      <c r="D152" s="2" t="s">
        <v>354</v>
      </c>
      <c r="E152" s="3">
        <v>45981</v>
      </c>
      <c r="F152" s="18">
        <v>45931</v>
      </c>
      <c r="G152" s="19" t="s">
        <v>467</v>
      </c>
      <c r="H152" s="2" t="s">
        <v>168</v>
      </c>
      <c r="I152" s="2" t="s">
        <v>174</v>
      </c>
      <c r="J152" s="4" t="s">
        <v>170</v>
      </c>
      <c r="K152" s="5">
        <v>34752</v>
      </c>
      <c r="L152" s="5">
        <f t="shared" si="7"/>
        <v>6255.36</v>
      </c>
      <c r="M152" s="5">
        <f t="shared" si="8"/>
        <v>41007.360000000001</v>
      </c>
      <c r="N152" s="5">
        <f t="shared" si="9"/>
        <v>695.04</v>
      </c>
      <c r="O152" s="5">
        <f t="shared" si="10"/>
        <v>40312.32</v>
      </c>
      <c r="P152" s="6" t="s">
        <v>19</v>
      </c>
      <c r="Q152" s="7" t="s">
        <v>20</v>
      </c>
    </row>
    <row r="153" spans="2:17" ht="30" x14ac:dyDescent="0.25">
      <c r="B153" s="1">
        <f t="shared" si="6"/>
        <v>152</v>
      </c>
      <c r="C153" s="15">
        <v>45967</v>
      </c>
      <c r="D153" s="2" t="s">
        <v>354</v>
      </c>
      <c r="E153" s="3">
        <v>45981</v>
      </c>
      <c r="F153" s="18">
        <v>45931</v>
      </c>
      <c r="G153" s="19" t="s">
        <v>467</v>
      </c>
      <c r="H153" s="2" t="s">
        <v>168</v>
      </c>
      <c r="I153" s="2" t="s">
        <v>175</v>
      </c>
      <c r="J153" s="4" t="s">
        <v>176</v>
      </c>
      <c r="K153" s="5">
        <v>213460</v>
      </c>
      <c r="L153" s="5">
        <f t="shared" si="7"/>
        <v>38422.799999999996</v>
      </c>
      <c r="M153" s="5">
        <f t="shared" si="8"/>
        <v>251882.8</v>
      </c>
      <c r="N153" s="5">
        <f t="shared" si="9"/>
        <v>4269.2</v>
      </c>
      <c r="O153" s="5">
        <f t="shared" si="10"/>
        <v>247613.59999999998</v>
      </c>
      <c r="P153" s="6" t="s">
        <v>19</v>
      </c>
      <c r="Q153" s="7" t="s">
        <v>25</v>
      </c>
    </row>
    <row r="154" spans="2:17" ht="30" x14ac:dyDescent="0.25">
      <c r="B154" s="1">
        <f t="shared" si="6"/>
        <v>153</v>
      </c>
      <c r="C154" s="15">
        <v>45967</v>
      </c>
      <c r="D154" s="2" t="s">
        <v>354</v>
      </c>
      <c r="E154" s="3">
        <v>45981</v>
      </c>
      <c r="F154" s="18">
        <v>45931</v>
      </c>
      <c r="G154" s="19" t="s">
        <v>467</v>
      </c>
      <c r="H154" s="2" t="s">
        <v>168</v>
      </c>
      <c r="I154" s="2" t="s">
        <v>177</v>
      </c>
      <c r="J154" s="4" t="s">
        <v>178</v>
      </c>
      <c r="K154" s="5">
        <v>223043</v>
      </c>
      <c r="L154" s="5">
        <f t="shared" si="7"/>
        <v>40147.74</v>
      </c>
      <c r="M154" s="5">
        <f t="shared" si="8"/>
        <v>263190.74</v>
      </c>
      <c r="N154" s="5">
        <f t="shared" si="9"/>
        <v>4460.8599999999997</v>
      </c>
      <c r="O154" s="5">
        <f t="shared" si="10"/>
        <v>258729.88</v>
      </c>
      <c r="P154" s="6" t="s">
        <v>19</v>
      </c>
      <c r="Q154" s="7" t="s">
        <v>37</v>
      </c>
    </row>
    <row r="155" spans="2:17" ht="30" x14ac:dyDescent="0.25">
      <c r="B155" s="1">
        <f t="shared" si="6"/>
        <v>154</v>
      </c>
      <c r="C155" s="15">
        <v>45967</v>
      </c>
      <c r="D155" s="2" t="s">
        <v>354</v>
      </c>
      <c r="E155" s="3">
        <v>45981</v>
      </c>
      <c r="F155" s="18">
        <v>45931</v>
      </c>
      <c r="G155" s="19" t="s">
        <v>467</v>
      </c>
      <c r="H155" s="2" t="s">
        <v>168</v>
      </c>
      <c r="I155" s="2" t="s">
        <v>179</v>
      </c>
      <c r="J155" s="4" t="s">
        <v>180</v>
      </c>
      <c r="K155" s="5">
        <v>27000</v>
      </c>
      <c r="L155" s="5">
        <f t="shared" si="7"/>
        <v>4860</v>
      </c>
      <c r="M155" s="5">
        <f t="shared" si="8"/>
        <v>31860</v>
      </c>
      <c r="N155" s="5">
        <f t="shared" si="9"/>
        <v>540</v>
      </c>
      <c r="O155" s="5">
        <f t="shared" si="10"/>
        <v>31320</v>
      </c>
      <c r="P155" s="6" t="s">
        <v>19</v>
      </c>
      <c r="Q155" s="7" t="s">
        <v>106</v>
      </c>
    </row>
    <row r="156" spans="2:17" ht="30" x14ac:dyDescent="0.25">
      <c r="B156" s="1">
        <f t="shared" si="6"/>
        <v>155</v>
      </c>
      <c r="C156" s="15">
        <v>45967</v>
      </c>
      <c r="D156" s="2" t="s">
        <v>354</v>
      </c>
      <c r="E156" s="3">
        <v>45981</v>
      </c>
      <c r="F156" s="18">
        <v>45931</v>
      </c>
      <c r="G156" s="19" t="s">
        <v>467</v>
      </c>
      <c r="H156" s="2" t="s">
        <v>168</v>
      </c>
      <c r="I156" s="2" t="s">
        <v>181</v>
      </c>
      <c r="J156" s="4" t="s">
        <v>180</v>
      </c>
      <c r="K156" s="5">
        <v>37016</v>
      </c>
      <c r="L156" s="5">
        <f t="shared" si="7"/>
        <v>6662.88</v>
      </c>
      <c r="M156" s="5">
        <f t="shared" si="8"/>
        <v>43678.879999999997</v>
      </c>
      <c r="N156" s="5">
        <f t="shared" si="9"/>
        <v>740.32</v>
      </c>
      <c r="O156" s="5">
        <f t="shared" si="10"/>
        <v>42938.559999999998</v>
      </c>
      <c r="P156" s="6" t="s">
        <v>19</v>
      </c>
      <c r="Q156" s="7" t="s">
        <v>106</v>
      </c>
    </row>
    <row r="157" spans="2:17" ht="30" x14ac:dyDescent="0.25">
      <c r="B157" s="1">
        <f t="shared" si="6"/>
        <v>156</v>
      </c>
      <c r="C157" s="15">
        <v>45967</v>
      </c>
      <c r="D157" s="2" t="s">
        <v>354</v>
      </c>
      <c r="E157" s="3">
        <v>45981</v>
      </c>
      <c r="F157" s="18">
        <v>45931</v>
      </c>
      <c r="G157" s="19" t="s">
        <v>467</v>
      </c>
      <c r="H157" s="2" t="s">
        <v>168</v>
      </c>
      <c r="I157" s="2" t="s">
        <v>355</v>
      </c>
      <c r="J157" s="4" t="s">
        <v>180</v>
      </c>
      <c r="K157" s="5"/>
      <c r="L157" s="5">
        <f t="shared" si="7"/>
        <v>0</v>
      </c>
      <c r="M157" s="5">
        <f t="shared" si="8"/>
        <v>0</v>
      </c>
      <c r="N157" s="5">
        <f t="shared" si="9"/>
        <v>0</v>
      </c>
      <c r="O157" s="5">
        <f t="shared" si="10"/>
        <v>0</v>
      </c>
      <c r="P157" s="6" t="s">
        <v>19</v>
      </c>
      <c r="Q157" s="7" t="s">
        <v>106</v>
      </c>
    </row>
    <row r="158" spans="2:17" ht="30" x14ac:dyDescent="0.25">
      <c r="B158" s="1">
        <f t="shared" si="6"/>
        <v>157</v>
      </c>
      <c r="C158" s="15">
        <v>45967</v>
      </c>
      <c r="D158" s="2" t="s">
        <v>354</v>
      </c>
      <c r="E158" s="3">
        <v>45981</v>
      </c>
      <c r="F158" s="18">
        <v>45931</v>
      </c>
      <c r="G158" s="19" t="s">
        <v>467</v>
      </c>
      <c r="H158" s="2" t="s">
        <v>168</v>
      </c>
      <c r="I158" s="2" t="s">
        <v>182</v>
      </c>
      <c r="J158" s="4" t="s">
        <v>183</v>
      </c>
      <c r="K158" s="5">
        <v>35484</v>
      </c>
      <c r="L158" s="5">
        <f t="shared" si="7"/>
        <v>6387.12</v>
      </c>
      <c r="M158" s="5">
        <f t="shared" si="8"/>
        <v>41871.120000000003</v>
      </c>
      <c r="N158" s="5">
        <f t="shared" si="9"/>
        <v>709.68000000000006</v>
      </c>
      <c r="O158" s="5">
        <f t="shared" si="10"/>
        <v>41161.440000000002</v>
      </c>
      <c r="P158" s="6" t="s">
        <v>19</v>
      </c>
      <c r="Q158" s="7" t="s">
        <v>72</v>
      </c>
    </row>
    <row r="159" spans="2:17" ht="30" x14ac:dyDescent="0.25">
      <c r="B159" s="1">
        <f t="shared" si="6"/>
        <v>158</v>
      </c>
      <c r="C159" s="15">
        <v>45967</v>
      </c>
      <c r="D159" s="2" t="s">
        <v>354</v>
      </c>
      <c r="E159" s="3">
        <v>45981</v>
      </c>
      <c r="F159" s="18">
        <v>45931</v>
      </c>
      <c r="G159" s="19" t="s">
        <v>467</v>
      </c>
      <c r="H159" s="2" t="s">
        <v>168</v>
      </c>
      <c r="I159" s="2" t="s">
        <v>184</v>
      </c>
      <c r="J159" s="4" t="s">
        <v>183</v>
      </c>
      <c r="K159" s="5">
        <v>668095</v>
      </c>
      <c r="L159" s="5">
        <f t="shared" si="7"/>
        <v>120257.09999999999</v>
      </c>
      <c r="M159" s="5">
        <f t="shared" si="8"/>
        <v>788352.1</v>
      </c>
      <c r="N159" s="5">
        <f t="shared" si="9"/>
        <v>13361.9</v>
      </c>
      <c r="O159" s="5">
        <f t="shared" si="10"/>
        <v>774990.2</v>
      </c>
      <c r="P159" s="6" t="s">
        <v>19</v>
      </c>
      <c r="Q159" s="7" t="s">
        <v>72</v>
      </c>
    </row>
    <row r="160" spans="2:17" ht="30" x14ac:dyDescent="0.25">
      <c r="B160" s="1">
        <f t="shared" si="6"/>
        <v>159</v>
      </c>
      <c r="C160" s="15">
        <v>45967</v>
      </c>
      <c r="D160" s="2" t="s">
        <v>354</v>
      </c>
      <c r="E160" s="3">
        <v>45981</v>
      </c>
      <c r="F160" s="18">
        <v>45931</v>
      </c>
      <c r="G160" s="19" t="s">
        <v>467</v>
      </c>
      <c r="H160" s="2" t="s">
        <v>168</v>
      </c>
      <c r="I160" s="2" t="s">
        <v>185</v>
      </c>
      <c r="J160" s="4" t="s">
        <v>183</v>
      </c>
      <c r="K160" s="5">
        <v>20000</v>
      </c>
      <c r="L160" s="5">
        <f t="shared" si="7"/>
        <v>3600</v>
      </c>
      <c r="M160" s="5">
        <f t="shared" si="8"/>
        <v>23600</v>
      </c>
      <c r="N160" s="5">
        <f t="shared" si="9"/>
        <v>400</v>
      </c>
      <c r="O160" s="5">
        <f t="shared" si="10"/>
        <v>23200</v>
      </c>
      <c r="P160" s="6" t="s">
        <v>19</v>
      </c>
      <c r="Q160" s="7" t="s">
        <v>72</v>
      </c>
    </row>
    <row r="161" spans="2:17" ht="30" x14ac:dyDescent="0.25">
      <c r="B161" s="1">
        <f t="shared" si="6"/>
        <v>160</v>
      </c>
      <c r="C161" s="15">
        <v>45967</v>
      </c>
      <c r="D161" s="2" t="s">
        <v>354</v>
      </c>
      <c r="E161" s="3">
        <v>45981</v>
      </c>
      <c r="F161" s="18">
        <v>45931</v>
      </c>
      <c r="G161" s="19" t="s">
        <v>467</v>
      </c>
      <c r="H161" s="2" t="s">
        <v>168</v>
      </c>
      <c r="I161" s="2" t="s">
        <v>186</v>
      </c>
      <c r="J161" s="4" t="s">
        <v>356</v>
      </c>
      <c r="K161" s="5">
        <v>19000</v>
      </c>
      <c r="L161" s="5">
        <f t="shared" si="7"/>
        <v>3420</v>
      </c>
      <c r="M161" s="5">
        <f t="shared" si="8"/>
        <v>22420</v>
      </c>
      <c r="N161" s="5">
        <f t="shared" si="9"/>
        <v>380</v>
      </c>
      <c r="O161" s="5">
        <f t="shared" si="10"/>
        <v>22040</v>
      </c>
      <c r="P161" s="6" t="s">
        <v>19</v>
      </c>
      <c r="Q161" s="7" t="s">
        <v>31</v>
      </c>
    </row>
    <row r="162" spans="2:17" ht="30" x14ac:dyDescent="0.25">
      <c r="B162" s="1">
        <f t="shared" si="6"/>
        <v>161</v>
      </c>
      <c r="C162" s="15">
        <v>45967</v>
      </c>
      <c r="D162" s="2" t="s">
        <v>354</v>
      </c>
      <c r="E162" s="3">
        <v>45981</v>
      </c>
      <c r="F162" s="18">
        <v>45931</v>
      </c>
      <c r="G162" s="19" t="s">
        <v>467</v>
      </c>
      <c r="H162" s="2" t="s">
        <v>168</v>
      </c>
      <c r="I162" s="2" t="s">
        <v>189</v>
      </c>
      <c r="J162" s="4" t="s">
        <v>183</v>
      </c>
      <c r="K162" s="5">
        <v>36720</v>
      </c>
      <c r="L162" s="5">
        <f t="shared" si="7"/>
        <v>6609.5999999999995</v>
      </c>
      <c r="M162" s="5">
        <f t="shared" si="8"/>
        <v>43329.599999999999</v>
      </c>
      <c r="N162" s="5">
        <f t="shared" si="9"/>
        <v>734.4</v>
      </c>
      <c r="O162" s="5">
        <f t="shared" si="10"/>
        <v>42595.199999999997</v>
      </c>
      <c r="P162" s="6" t="s">
        <v>19</v>
      </c>
      <c r="Q162" s="7" t="s">
        <v>72</v>
      </c>
    </row>
    <row r="163" spans="2:17" ht="30" x14ac:dyDescent="0.25">
      <c r="B163" s="1">
        <f t="shared" si="6"/>
        <v>162</v>
      </c>
      <c r="C163" s="15">
        <v>45967</v>
      </c>
      <c r="D163" s="2" t="s">
        <v>354</v>
      </c>
      <c r="E163" s="3">
        <v>45981</v>
      </c>
      <c r="F163" s="18">
        <v>45931</v>
      </c>
      <c r="G163" s="19" t="s">
        <v>467</v>
      </c>
      <c r="H163" s="2" t="s">
        <v>168</v>
      </c>
      <c r="I163" s="2" t="s">
        <v>357</v>
      </c>
      <c r="J163" s="4" t="s">
        <v>170</v>
      </c>
      <c r="K163" s="5">
        <v>80000</v>
      </c>
      <c r="L163" s="5">
        <f t="shared" si="7"/>
        <v>14400</v>
      </c>
      <c r="M163" s="5">
        <f t="shared" si="8"/>
        <v>94400</v>
      </c>
      <c r="N163" s="5">
        <f t="shared" si="9"/>
        <v>1600</v>
      </c>
      <c r="O163" s="5">
        <f t="shared" si="10"/>
        <v>92800</v>
      </c>
      <c r="P163" s="6" t="s">
        <v>19</v>
      </c>
      <c r="Q163" s="7" t="s">
        <v>20</v>
      </c>
    </row>
    <row r="164" spans="2:17" x14ac:dyDescent="0.25">
      <c r="B164" s="1">
        <f t="shared" si="6"/>
        <v>163</v>
      </c>
      <c r="C164" s="15">
        <v>45971</v>
      </c>
      <c r="D164" s="2">
        <v>23</v>
      </c>
      <c r="E164" s="3">
        <v>45981</v>
      </c>
      <c r="F164" s="18">
        <v>45931</v>
      </c>
      <c r="G164" s="19" t="s">
        <v>467</v>
      </c>
      <c r="H164" s="2" t="s">
        <v>132</v>
      </c>
      <c r="I164" s="2" t="s">
        <v>358</v>
      </c>
      <c r="J164" s="4" t="s">
        <v>359</v>
      </c>
      <c r="K164" s="5">
        <v>89888</v>
      </c>
      <c r="L164" s="5">
        <v>16180</v>
      </c>
      <c r="M164" s="5">
        <v>106068</v>
      </c>
      <c r="N164" s="5">
        <v>8989</v>
      </c>
      <c r="O164" s="5">
        <v>97079</v>
      </c>
      <c r="P164" s="6" t="s">
        <v>19</v>
      </c>
      <c r="Q164" s="7" t="s">
        <v>135</v>
      </c>
    </row>
    <row r="165" spans="2:17" x14ac:dyDescent="0.25">
      <c r="B165" s="1">
        <f t="shared" si="6"/>
        <v>164</v>
      </c>
      <c r="C165" s="15">
        <v>45972</v>
      </c>
      <c r="D165" s="2" t="s">
        <v>73</v>
      </c>
      <c r="E165" s="3">
        <v>45980</v>
      </c>
      <c r="F165" s="18">
        <v>45962</v>
      </c>
      <c r="G165" s="19" t="s">
        <v>467</v>
      </c>
      <c r="H165" s="2" t="s">
        <v>360</v>
      </c>
      <c r="I165" s="2" t="s">
        <v>361</v>
      </c>
      <c r="J165" s="4" t="s">
        <v>362</v>
      </c>
      <c r="K165" s="5">
        <v>21244</v>
      </c>
      <c r="L165" s="5">
        <v>3823.92</v>
      </c>
      <c r="M165" s="5">
        <v>25068</v>
      </c>
      <c r="N165" s="5">
        <v>0</v>
      </c>
      <c r="O165" s="5">
        <v>21244</v>
      </c>
      <c r="P165" s="6" t="s">
        <v>24</v>
      </c>
      <c r="Q165" s="7" t="s">
        <v>37</v>
      </c>
    </row>
    <row r="166" spans="2:17" x14ac:dyDescent="0.25">
      <c r="B166" s="1">
        <f t="shared" si="6"/>
        <v>165</v>
      </c>
      <c r="C166" s="15">
        <v>45967</v>
      </c>
      <c r="D166" s="2" t="s">
        <v>73</v>
      </c>
      <c r="E166" s="3">
        <v>45980</v>
      </c>
      <c r="F166" s="18">
        <v>45962</v>
      </c>
      <c r="G166" s="19" t="s">
        <v>467</v>
      </c>
      <c r="H166" s="2" t="s">
        <v>360</v>
      </c>
      <c r="I166" s="2" t="s">
        <v>363</v>
      </c>
      <c r="J166" s="4" t="s">
        <v>362</v>
      </c>
      <c r="K166" s="5">
        <v>6480</v>
      </c>
      <c r="L166" s="5">
        <v>1166.4000000000001</v>
      </c>
      <c r="M166" s="5">
        <v>7646</v>
      </c>
      <c r="N166" s="5">
        <v>0</v>
      </c>
      <c r="O166" s="5">
        <v>6480</v>
      </c>
      <c r="P166" s="6" t="s">
        <v>24</v>
      </c>
      <c r="Q166" s="7" t="s">
        <v>37</v>
      </c>
    </row>
    <row r="167" spans="2:17" x14ac:dyDescent="0.25">
      <c r="B167" s="1">
        <f t="shared" si="6"/>
        <v>166</v>
      </c>
      <c r="C167" s="15">
        <v>45971</v>
      </c>
      <c r="D167" s="2" t="s">
        <v>73</v>
      </c>
      <c r="E167" s="3">
        <v>45980</v>
      </c>
      <c r="F167" s="18">
        <v>45962</v>
      </c>
      <c r="G167" s="19" t="s">
        <v>467</v>
      </c>
      <c r="H167" s="2" t="s">
        <v>42</v>
      </c>
      <c r="I167" s="2" t="s">
        <v>364</v>
      </c>
      <c r="J167" s="4" t="s">
        <v>365</v>
      </c>
      <c r="K167" s="5">
        <v>68520</v>
      </c>
      <c r="L167" s="5">
        <v>12334</v>
      </c>
      <c r="M167" s="5">
        <v>80854</v>
      </c>
      <c r="N167" s="5">
        <v>0</v>
      </c>
      <c r="O167" s="5">
        <v>68520</v>
      </c>
      <c r="P167" s="6" t="s">
        <v>24</v>
      </c>
      <c r="Q167" s="7" t="s">
        <v>37</v>
      </c>
    </row>
    <row r="168" spans="2:17" x14ac:dyDescent="0.25">
      <c r="B168" s="1">
        <f t="shared" si="6"/>
        <v>167</v>
      </c>
      <c r="C168" s="15">
        <v>45971</v>
      </c>
      <c r="D168" s="2" t="s">
        <v>73</v>
      </c>
      <c r="E168" s="3">
        <v>45980</v>
      </c>
      <c r="F168" s="18">
        <v>45962</v>
      </c>
      <c r="G168" s="19" t="s">
        <v>467</v>
      </c>
      <c r="H168" s="2" t="s">
        <v>42</v>
      </c>
      <c r="I168" s="2" t="s">
        <v>366</v>
      </c>
      <c r="J168" s="4" t="s">
        <v>367</v>
      </c>
      <c r="K168" s="5">
        <v>105000</v>
      </c>
      <c r="L168" s="5">
        <v>18900</v>
      </c>
      <c r="M168" s="5">
        <v>123900</v>
      </c>
      <c r="N168" s="5">
        <v>0</v>
      </c>
      <c r="O168" s="5">
        <v>105000</v>
      </c>
      <c r="P168" s="6" t="s">
        <v>24</v>
      </c>
      <c r="Q168" s="7" t="s">
        <v>37</v>
      </c>
    </row>
    <row r="169" spans="2:17" ht="30" x14ac:dyDescent="0.25">
      <c r="B169" s="1">
        <f t="shared" si="6"/>
        <v>168</v>
      </c>
      <c r="C169" s="15">
        <v>45973</v>
      </c>
      <c r="D169" s="2">
        <v>781</v>
      </c>
      <c r="E169" s="3">
        <v>45980</v>
      </c>
      <c r="F169" s="18">
        <v>45962</v>
      </c>
      <c r="G169" s="19" t="s">
        <v>467</v>
      </c>
      <c r="H169" s="2" t="s">
        <v>338</v>
      </c>
      <c r="I169" s="2" t="s">
        <v>368</v>
      </c>
      <c r="J169" s="4" t="s">
        <v>105</v>
      </c>
      <c r="K169" s="5">
        <v>35858</v>
      </c>
      <c r="L169" s="5">
        <v>8642</v>
      </c>
      <c r="M169" s="5">
        <v>44500</v>
      </c>
      <c r="N169" s="5">
        <v>0</v>
      </c>
      <c r="O169" s="5">
        <v>25644</v>
      </c>
      <c r="P169" s="6" t="s">
        <v>36</v>
      </c>
      <c r="Q169" s="7" t="s">
        <v>106</v>
      </c>
    </row>
    <row r="170" spans="2:17" x14ac:dyDescent="0.25">
      <c r="B170" s="1">
        <f t="shared" si="6"/>
        <v>169</v>
      </c>
      <c r="C170" s="15">
        <v>45978</v>
      </c>
      <c r="D170" s="2">
        <v>1139</v>
      </c>
      <c r="E170" s="3">
        <v>45980</v>
      </c>
      <c r="F170" s="18">
        <v>45962</v>
      </c>
      <c r="G170" s="19" t="s">
        <v>467</v>
      </c>
      <c r="H170" s="2" t="s">
        <v>94</v>
      </c>
      <c r="I170" s="2" t="s">
        <v>369</v>
      </c>
      <c r="J170" s="4" t="s">
        <v>370</v>
      </c>
      <c r="K170" s="5">
        <v>16600</v>
      </c>
      <c r="L170" s="5">
        <v>2988</v>
      </c>
      <c r="M170" s="5">
        <v>19588</v>
      </c>
      <c r="N170" s="5">
        <v>0</v>
      </c>
      <c r="O170" s="5">
        <v>19588</v>
      </c>
      <c r="P170" s="6" t="s">
        <v>24</v>
      </c>
      <c r="Q170" s="7" t="s">
        <v>31</v>
      </c>
    </row>
    <row r="171" spans="2:17" x14ac:dyDescent="0.25">
      <c r="B171" s="1">
        <f t="shared" si="6"/>
        <v>170</v>
      </c>
      <c r="C171" s="15">
        <v>45971</v>
      </c>
      <c r="D171" s="2">
        <v>1147</v>
      </c>
      <c r="E171" s="3">
        <v>45980</v>
      </c>
      <c r="F171" s="18">
        <v>45962</v>
      </c>
      <c r="G171" s="19" t="s">
        <v>467</v>
      </c>
      <c r="H171" s="2" t="s">
        <v>94</v>
      </c>
      <c r="I171" s="2" t="s">
        <v>371</v>
      </c>
      <c r="J171" s="4" t="s">
        <v>372</v>
      </c>
      <c r="K171" s="5">
        <v>40911</v>
      </c>
      <c r="L171" s="5">
        <v>7364</v>
      </c>
      <c r="M171" s="5">
        <v>48275</v>
      </c>
      <c r="N171" s="5">
        <v>0</v>
      </c>
      <c r="O171" s="5">
        <v>48275</v>
      </c>
      <c r="P171" s="6" t="s">
        <v>36</v>
      </c>
      <c r="Q171" s="7" t="s">
        <v>31</v>
      </c>
    </row>
    <row r="172" spans="2:17" x14ac:dyDescent="0.25">
      <c r="B172" s="1">
        <f t="shared" si="6"/>
        <v>171</v>
      </c>
      <c r="C172" s="15">
        <v>45972</v>
      </c>
      <c r="D172" s="2" t="s">
        <v>373</v>
      </c>
      <c r="E172" s="3">
        <v>45980</v>
      </c>
      <c r="F172" s="18">
        <v>45962</v>
      </c>
      <c r="G172" s="19" t="s">
        <v>467</v>
      </c>
      <c r="H172" s="2" t="s">
        <v>116</v>
      </c>
      <c r="I172" s="2" t="s">
        <v>374</v>
      </c>
      <c r="J172" s="4" t="s">
        <v>23</v>
      </c>
      <c r="K172" s="5">
        <v>94200</v>
      </c>
      <c r="L172" s="5">
        <v>16956</v>
      </c>
      <c r="M172" s="5">
        <v>111156</v>
      </c>
      <c r="N172" s="5">
        <v>0</v>
      </c>
      <c r="O172" s="5">
        <v>111156</v>
      </c>
      <c r="P172" s="6" t="s">
        <v>24</v>
      </c>
      <c r="Q172" s="7" t="s">
        <v>25</v>
      </c>
    </row>
    <row r="173" spans="2:17" x14ac:dyDescent="0.25">
      <c r="B173" s="1">
        <f t="shared" si="6"/>
        <v>172</v>
      </c>
      <c r="C173" s="15">
        <v>45978</v>
      </c>
      <c r="D173" s="2" t="s">
        <v>375</v>
      </c>
      <c r="E173" s="3">
        <v>45985</v>
      </c>
      <c r="F173" s="18">
        <v>45962</v>
      </c>
      <c r="G173" s="19" t="s">
        <v>467</v>
      </c>
      <c r="H173" s="2" t="s">
        <v>316</v>
      </c>
      <c r="I173" s="2" t="s">
        <v>376</v>
      </c>
      <c r="J173" s="4" t="s">
        <v>18</v>
      </c>
      <c r="K173" s="5">
        <v>200325</v>
      </c>
      <c r="L173" s="5">
        <v>36059</v>
      </c>
      <c r="M173" s="5">
        <v>236384</v>
      </c>
      <c r="N173" s="5"/>
      <c r="O173" s="5">
        <v>136221</v>
      </c>
      <c r="P173" s="6" t="s">
        <v>19</v>
      </c>
      <c r="Q173" s="7" t="s">
        <v>20</v>
      </c>
    </row>
    <row r="174" spans="2:17" x14ac:dyDescent="0.25">
      <c r="B174" s="1">
        <f t="shared" si="6"/>
        <v>173</v>
      </c>
      <c r="C174" s="15">
        <v>45974</v>
      </c>
      <c r="D174" s="2" t="s">
        <v>73</v>
      </c>
      <c r="E174" s="3">
        <v>45985</v>
      </c>
      <c r="F174" s="18">
        <v>45962</v>
      </c>
      <c r="G174" s="19" t="s">
        <v>467</v>
      </c>
      <c r="H174" s="2" t="s">
        <v>377</v>
      </c>
      <c r="I174" s="2" t="s">
        <v>378</v>
      </c>
      <c r="J174" s="4" t="s">
        <v>379</v>
      </c>
      <c r="K174" s="5">
        <v>36000</v>
      </c>
      <c r="L174" s="5">
        <v>6480</v>
      </c>
      <c r="M174" s="5">
        <v>42480</v>
      </c>
      <c r="N174" s="5">
        <v>360</v>
      </c>
      <c r="O174" s="5">
        <v>17640</v>
      </c>
      <c r="P174" s="6" t="s">
        <v>24</v>
      </c>
      <c r="Q174" s="7" t="s">
        <v>106</v>
      </c>
    </row>
    <row r="175" spans="2:17" x14ac:dyDescent="0.25">
      <c r="B175" s="1">
        <f t="shared" si="6"/>
        <v>174</v>
      </c>
      <c r="C175" s="15">
        <v>45974</v>
      </c>
      <c r="D175" s="2" t="s">
        <v>73</v>
      </c>
      <c r="E175" s="3">
        <v>45985</v>
      </c>
      <c r="F175" s="18">
        <v>45962</v>
      </c>
      <c r="G175" s="19" t="s">
        <v>467</v>
      </c>
      <c r="H175" s="2" t="s">
        <v>377</v>
      </c>
      <c r="I175" s="2" t="s">
        <v>380</v>
      </c>
      <c r="J175" s="4" t="s">
        <v>379</v>
      </c>
      <c r="K175" s="5">
        <v>41850</v>
      </c>
      <c r="L175" s="5">
        <v>7533</v>
      </c>
      <c r="M175" s="5">
        <v>49383</v>
      </c>
      <c r="N175" s="5"/>
      <c r="O175" s="5">
        <v>20925</v>
      </c>
      <c r="P175" s="6" t="s">
        <v>24</v>
      </c>
      <c r="Q175" s="7" t="s">
        <v>106</v>
      </c>
    </row>
    <row r="176" spans="2:17" x14ac:dyDescent="0.25">
      <c r="B176" s="1">
        <f t="shared" si="6"/>
        <v>175</v>
      </c>
      <c r="C176" s="15">
        <v>45974</v>
      </c>
      <c r="D176" s="2" t="s">
        <v>73</v>
      </c>
      <c r="E176" s="3">
        <v>45985</v>
      </c>
      <c r="F176" s="18">
        <v>45962</v>
      </c>
      <c r="G176" s="19" t="s">
        <v>467</v>
      </c>
      <c r="H176" s="2" t="s">
        <v>377</v>
      </c>
      <c r="I176" s="2" t="s">
        <v>381</v>
      </c>
      <c r="J176" s="4" t="s">
        <v>379</v>
      </c>
      <c r="K176" s="5">
        <v>32150</v>
      </c>
      <c r="L176" s="5">
        <v>5787</v>
      </c>
      <c r="M176" s="5">
        <v>37937</v>
      </c>
      <c r="N176" s="5">
        <v>322</v>
      </c>
      <c r="O176" s="5">
        <v>15754</v>
      </c>
      <c r="P176" s="6" t="s">
        <v>24</v>
      </c>
      <c r="Q176" s="7" t="s">
        <v>106</v>
      </c>
    </row>
    <row r="177" spans="2:17" x14ac:dyDescent="0.25">
      <c r="B177" s="1">
        <f t="shared" si="6"/>
        <v>176</v>
      </c>
      <c r="C177" s="15">
        <v>45962</v>
      </c>
      <c r="D177" s="2"/>
      <c r="E177" s="3">
        <v>45979</v>
      </c>
      <c r="F177" s="18">
        <v>45931</v>
      </c>
      <c r="G177" s="19" t="s">
        <v>467</v>
      </c>
      <c r="H177" s="2" t="s">
        <v>127</v>
      </c>
      <c r="I177" s="2" t="s">
        <v>382</v>
      </c>
      <c r="J177" s="4" t="s">
        <v>129</v>
      </c>
      <c r="K177" s="5">
        <f>O177</f>
        <v>998359</v>
      </c>
      <c r="L177" s="5"/>
      <c r="M177" s="5">
        <f>O177</f>
        <v>998359</v>
      </c>
      <c r="N177" s="5"/>
      <c r="O177" s="5">
        <v>998359</v>
      </c>
      <c r="P177" s="6" t="s">
        <v>19</v>
      </c>
      <c r="Q177" s="7" t="s">
        <v>25</v>
      </c>
    </row>
    <row r="178" spans="2:17" x14ac:dyDescent="0.25">
      <c r="B178" s="1">
        <f t="shared" si="6"/>
        <v>177</v>
      </c>
      <c r="C178" s="15">
        <v>45962</v>
      </c>
      <c r="D178" s="2"/>
      <c r="E178" s="3">
        <v>45980</v>
      </c>
      <c r="F178" s="18">
        <v>45962</v>
      </c>
      <c r="G178" s="19" t="s">
        <v>467</v>
      </c>
      <c r="H178" s="2" t="s">
        <v>130</v>
      </c>
      <c r="I178" s="2" t="s">
        <v>383</v>
      </c>
      <c r="J178" s="4" t="s">
        <v>383</v>
      </c>
      <c r="K178" s="5">
        <v>11.8</v>
      </c>
      <c r="L178" s="5"/>
      <c r="M178" s="5">
        <v>11.8</v>
      </c>
      <c r="N178" s="5"/>
      <c r="O178" s="5">
        <v>11.8</v>
      </c>
      <c r="P178" s="6"/>
      <c r="Q178" s="7"/>
    </row>
    <row r="179" spans="2:17" x14ac:dyDescent="0.25">
      <c r="B179" s="1">
        <f t="shared" si="6"/>
        <v>178</v>
      </c>
      <c r="C179" s="15">
        <v>45983</v>
      </c>
      <c r="D179" s="2">
        <v>1</v>
      </c>
      <c r="E179" s="3">
        <v>45993</v>
      </c>
      <c r="F179" s="18">
        <v>45992</v>
      </c>
      <c r="G179" s="19" t="s">
        <v>467</v>
      </c>
      <c r="H179" s="2" t="s">
        <v>384</v>
      </c>
      <c r="I179" s="2" t="s">
        <v>385</v>
      </c>
      <c r="J179" s="4" t="s">
        <v>193</v>
      </c>
      <c r="K179" s="5">
        <v>11500</v>
      </c>
      <c r="L179" s="5"/>
      <c r="M179" s="5">
        <v>11500</v>
      </c>
      <c r="N179" s="5"/>
      <c r="O179" s="5">
        <v>11500</v>
      </c>
      <c r="P179" s="6" t="s">
        <v>24</v>
      </c>
      <c r="Q179" s="7" t="s">
        <v>67</v>
      </c>
    </row>
    <row r="180" spans="2:17" x14ac:dyDescent="0.25">
      <c r="B180" s="1">
        <f t="shared" si="6"/>
        <v>179</v>
      </c>
      <c r="C180" s="15">
        <v>45966</v>
      </c>
      <c r="D180" s="2">
        <v>749</v>
      </c>
      <c r="E180" s="3">
        <v>45993</v>
      </c>
      <c r="F180" s="18">
        <v>45992</v>
      </c>
      <c r="G180" s="19" t="s">
        <v>467</v>
      </c>
      <c r="H180" s="2" t="s">
        <v>386</v>
      </c>
      <c r="I180" s="2" t="s">
        <v>387</v>
      </c>
      <c r="J180" s="4" t="s">
        <v>23</v>
      </c>
      <c r="K180" s="5">
        <v>18260</v>
      </c>
      <c r="L180" s="5">
        <v>3287</v>
      </c>
      <c r="M180" s="5">
        <v>21547</v>
      </c>
      <c r="N180" s="5"/>
      <c r="O180" s="5">
        <v>21547</v>
      </c>
      <c r="P180" s="6" t="s">
        <v>24</v>
      </c>
      <c r="Q180" s="7" t="s">
        <v>25</v>
      </c>
    </row>
    <row r="181" spans="2:17" x14ac:dyDescent="0.25">
      <c r="B181" s="1">
        <f t="shared" si="6"/>
        <v>180</v>
      </c>
      <c r="C181" s="15">
        <v>45983</v>
      </c>
      <c r="D181" s="2" t="s">
        <v>388</v>
      </c>
      <c r="E181" s="3">
        <v>45993</v>
      </c>
      <c r="F181" s="18">
        <v>45992</v>
      </c>
      <c r="G181" s="19" t="s">
        <v>467</v>
      </c>
      <c r="H181" s="2" t="s">
        <v>33</v>
      </c>
      <c r="I181" s="2" t="s">
        <v>389</v>
      </c>
      <c r="J181" s="4" t="s">
        <v>306</v>
      </c>
      <c r="K181" s="5">
        <v>147900</v>
      </c>
      <c r="L181" s="5">
        <v>26622</v>
      </c>
      <c r="M181" s="5">
        <v>174522</v>
      </c>
      <c r="N181" s="5">
        <v>1479</v>
      </c>
      <c r="O181" s="5">
        <v>85782</v>
      </c>
      <c r="P181" s="6" t="s">
        <v>36</v>
      </c>
      <c r="Q181" s="7" t="s">
        <v>37</v>
      </c>
    </row>
    <row r="182" spans="2:17" x14ac:dyDescent="0.25">
      <c r="B182" s="1">
        <f t="shared" si="6"/>
        <v>181</v>
      </c>
      <c r="C182" s="15">
        <v>45978</v>
      </c>
      <c r="D182" s="2">
        <v>21719</v>
      </c>
      <c r="E182" s="3">
        <v>45993</v>
      </c>
      <c r="F182" s="18">
        <v>45992</v>
      </c>
      <c r="G182" s="19" t="s">
        <v>467</v>
      </c>
      <c r="H182" s="2" t="s">
        <v>91</v>
      </c>
      <c r="I182" s="2" t="s">
        <v>390</v>
      </c>
      <c r="J182" s="4" t="s">
        <v>93</v>
      </c>
      <c r="K182" s="5">
        <v>13400</v>
      </c>
      <c r="L182" s="5">
        <v>2412</v>
      </c>
      <c r="M182" s="5">
        <v>15812</v>
      </c>
      <c r="N182" s="5"/>
      <c r="O182" s="5">
        <v>15812</v>
      </c>
      <c r="P182" s="6" t="s">
        <v>24</v>
      </c>
      <c r="Q182" s="7" t="s">
        <v>72</v>
      </c>
    </row>
    <row r="183" spans="2:17" x14ac:dyDescent="0.25">
      <c r="B183" s="1">
        <f t="shared" si="6"/>
        <v>182</v>
      </c>
      <c r="C183" s="15">
        <v>45958</v>
      </c>
      <c r="D183" s="2">
        <v>948</v>
      </c>
      <c r="E183" s="3">
        <v>45993</v>
      </c>
      <c r="F183" s="18">
        <v>45992</v>
      </c>
      <c r="G183" s="19" t="s">
        <v>467</v>
      </c>
      <c r="H183" s="2" t="s">
        <v>26</v>
      </c>
      <c r="I183" s="2" t="s">
        <v>391</v>
      </c>
      <c r="J183" s="4" t="s">
        <v>23</v>
      </c>
      <c r="K183" s="5">
        <v>2500</v>
      </c>
      <c r="L183" s="5">
        <v>450</v>
      </c>
      <c r="M183" s="5">
        <v>2950</v>
      </c>
      <c r="N183" s="5"/>
      <c r="O183" s="5">
        <v>2950</v>
      </c>
      <c r="P183" s="6" t="s">
        <v>24</v>
      </c>
      <c r="Q183" s="7" t="s">
        <v>25</v>
      </c>
    </row>
    <row r="184" spans="2:17" x14ac:dyDescent="0.25">
      <c r="B184" s="1">
        <f t="shared" si="6"/>
        <v>183</v>
      </c>
      <c r="C184" s="15">
        <v>45991</v>
      </c>
      <c r="D184" s="2">
        <v>1</v>
      </c>
      <c r="E184" s="3">
        <v>45993</v>
      </c>
      <c r="F184" s="18">
        <v>45992</v>
      </c>
      <c r="G184" s="19" t="s">
        <v>467</v>
      </c>
      <c r="H184" s="2" t="s">
        <v>384</v>
      </c>
      <c r="I184" s="2" t="s">
        <v>392</v>
      </c>
      <c r="J184" s="4" t="s">
        <v>193</v>
      </c>
      <c r="K184" s="5">
        <v>30000</v>
      </c>
      <c r="L184" s="5"/>
      <c r="M184" s="5">
        <v>30000</v>
      </c>
      <c r="N184" s="5"/>
      <c r="O184" s="5">
        <v>30000</v>
      </c>
      <c r="P184" s="6" t="s">
        <v>24</v>
      </c>
      <c r="Q184" s="7" t="s">
        <v>67</v>
      </c>
    </row>
    <row r="185" spans="2:17" x14ac:dyDescent="0.25">
      <c r="B185" s="1">
        <f t="shared" si="6"/>
        <v>184</v>
      </c>
      <c r="C185" s="15">
        <v>45986</v>
      </c>
      <c r="D185" s="2" t="s">
        <v>393</v>
      </c>
      <c r="E185" s="3">
        <v>45993</v>
      </c>
      <c r="F185" s="18">
        <v>45992</v>
      </c>
      <c r="G185" s="19" t="s">
        <v>467</v>
      </c>
      <c r="H185" s="2" t="s">
        <v>33</v>
      </c>
      <c r="I185" s="2" t="s">
        <v>394</v>
      </c>
      <c r="J185" s="4" t="s">
        <v>211</v>
      </c>
      <c r="K185" s="5">
        <v>865425</v>
      </c>
      <c r="L185" s="5">
        <v>155777</v>
      </c>
      <c r="M185" s="5">
        <v>1021202</v>
      </c>
      <c r="N185" s="5">
        <v>8654</v>
      </c>
      <c r="O185" s="5">
        <v>259628</v>
      </c>
      <c r="P185" s="6" t="s">
        <v>36</v>
      </c>
      <c r="Q185" s="7" t="s">
        <v>37</v>
      </c>
    </row>
    <row r="186" spans="2:17" x14ac:dyDescent="0.25">
      <c r="B186" s="1">
        <f t="shared" si="6"/>
        <v>185</v>
      </c>
      <c r="C186" s="15">
        <v>45982</v>
      </c>
      <c r="D186" s="2">
        <v>1</v>
      </c>
      <c r="E186" s="3">
        <v>45994</v>
      </c>
      <c r="F186" s="18">
        <v>45992</v>
      </c>
      <c r="G186" s="19" t="s">
        <v>467</v>
      </c>
      <c r="H186" s="2" t="s">
        <v>395</v>
      </c>
      <c r="I186" s="2" t="s">
        <v>396</v>
      </c>
      <c r="J186" s="4" t="s">
        <v>397</v>
      </c>
      <c r="K186" s="5">
        <v>30600</v>
      </c>
      <c r="L186" s="5">
        <v>2115</v>
      </c>
      <c r="M186" s="5">
        <v>32715</v>
      </c>
      <c r="N186" s="5"/>
      <c r="O186" s="5">
        <v>32715</v>
      </c>
      <c r="P186" s="6" t="s">
        <v>24</v>
      </c>
      <c r="Q186" s="7" t="s">
        <v>31</v>
      </c>
    </row>
    <row r="187" spans="2:17" x14ac:dyDescent="0.25">
      <c r="B187" s="1">
        <f t="shared" si="6"/>
        <v>186</v>
      </c>
      <c r="C187" s="15">
        <v>45976</v>
      </c>
      <c r="D187" s="2">
        <v>2762</v>
      </c>
      <c r="E187" s="3">
        <v>45994</v>
      </c>
      <c r="F187" s="18">
        <v>45992</v>
      </c>
      <c r="G187" s="19" t="s">
        <v>467</v>
      </c>
      <c r="H187" s="2" t="s">
        <v>198</v>
      </c>
      <c r="I187" s="2" t="s">
        <v>398</v>
      </c>
      <c r="J187" s="4" t="s">
        <v>399</v>
      </c>
      <c r="K187" s="5">
        <v>81973</v>
      </c>
      <c r="L187" s="5">
        <v>13991</v>
      </c>
      <c r="M187" s="5">
        <v>95964</v>
      </c>
      <c r="N187" s="5"/>
      <c r="O187" s="5">
        <v>95964</v>
      </c>
      <c r="P187" s="6" t="s">
        <v>24</v>
      </c>
      <c r="Q187" s="7" t="s">
        <v>72</v>
      </c>
    </row>
    <row r="188" spans="2:17" x14ac:dyDescent="0.25">
      <c r="B188" s="1">
        <f t="shared" si="6"/>
        <v>187</v>
      </c>
      <c r="C188" s="15">
        <v>45983</v>
      </c>
      <c r="D188" s="2" t="s">
        <v>400</v>
      </c>
      <c r="E188" s="3">
        <v>45994</v>
      </c>
      <c r="F188" s="18">
        <v>45992</v>
      </c>
      <c r="G188" s="19" t="s">
        <v>467</v>
      </c>
      <c r="H188" s="2" t="s">
        <v>401</v>
      </c>
      <c r="I188" s="2" t="s">
        <v>402</v>
      </c>
      <c r="J188" s="4" t="s">
        <v>23</v>
      </c>
      <c r="K188" s="5">
        <v>31356</v>
      </c>
      <c r="L188" s="5">
        <v>5644</v>
      </c>
      <c r="M188" s="5">
        <v>37000</v>
      </c>
      <c r="N188" s="5"/>
      <c r="O188" s="5">
        <v>37000</v>
      </c>
      <c r="P188" s="6" t="s">
        <v>24</v>
      </c>
      <c r="Q188" s="7" t="s">
        <v>25</v>
      </c>
    </row>
    <row r="189" spans="2:17" x14ac:dyDescent="0.25">
      <c r="B189" s="1">
        <f t="shared" si="6"/>
        <v>188</v>
      </c>
      <c r="C189" s="15">
        <v>45987</v>
      </c>
      <c r="D189" s="2" t="s">
        <v>403</v>
      </c>
      <c r="E189" s="3">
        <v>45995</v>
      </c>
      <c r="F189" s="18">
        <v>45962</v>
      </c>
      <c r="G189" s="19" t="s">
        <v>467</v>
      </c>
      <c r="H189" s="2" t="s">
        <v>49</v>
      </c>
      <c r="I189" s="2" t="s">
        <v>404</v>
      </c>
      <c r="J189" s="4" t="s">
        <v>51</v>
      </c>
      <c r="K189" s="5">
        <v>1321803</v>
      </c>
      <c r="L189" s="5">
        <v>237925</v>
      </c>
      <c r="M189" s="5">
        <v>1559728</v>
      </c>
      <c r="N189" s="5">
        <v>26436</v>
      </c>
      <c r="O189" s="5">
        <v>1533291</v>
      </c>
      <c r="P189" s="6" t="s">
        <v>19</v>
      </c>
      <c r="Q189" s="7" t="s">
        <v>52</v>
      </c>
    </row>
    <row r="190" spans="2:17" x14ac:dyDescent="0.25">
      <c r="B190" s="1">
        <f t="shared" si="6"/>
        <v>189</v>
      </c>
      <c r="C190" s="15">
        <v>45987</v>
      </c>
      <c r="D190" s="2" t="s">
        <v>405</v>
      </c>
      <c r="E190" s="3">
        <v>45994</v>
      </c>
      <c r="F190" s="18">
        <v>45962</v>
      </c>
      <c r="G190" s="19" t="s">
        <v>467</v>
      </c>
      <c r="H190" s="2" t="s">
        <v>49</v>
      </c>
      <c r="I190" s="2" t="s">
        <v>314</v>
      </c>
      <c r="J190" s="4" t="s">
        <v>51</v>
      </c>
      <c r="K190" s="5">
        <v>129314</v>
      </c>
      <c r="L190" s="5">
        <v>23277</v>
      </c>
      <c r="M190" s="5">
        <v>152591</v>
      </c>
      <c r="N190" s="5">
        <v>2586</v>
      </c>
      <c r="O190" s="5">
        <v>150004</v>
      </c>
      <c r="P190" s="6" t="s">
        <v>19</v>
      </c>
      <c r="Q190" s="7" t="s">
        <v>52</v>
      </c>
    </row>
    <row r="191" spans="2:17" x14ac:dyDescent="0.25">
      <c r="B191" s="1">
        <f t="shared" si="6"/>
        <v>190</v>
      </c>
      <c r="C191" s="15">
        <v>45987</v>
      </c>
      <c r="D191" s="2" t="s">
        <v>406</v>
      </c>
      <c r="E191" s="3">
        <v>45994</v>
      </c>
      <c r="F191" s="18">
        <v>45962</v>
      </c>
      <c r="G191" s="19" t="s">
        <v>467</v>
      </c>
      <c r="H191" s="2" t="s">
        <v>49</v>
      </c>
      <c r="I191" s="2" t="s">
        <v>312</v>
      </c>
      <c r="J191" s="4" t="s">
        <v>51</v>
      </c>
      <c r="K191" s="5">
        <v>36733</v>
      </c>
      <c r="L191" s="5">
        <v>6612</v>
      </c>
      <c r="M191" s="5">
        <v>43345</v>
      </c>
      <c r="N191" s="5">
        <v>735</v>
      </c>
      <c r="O191" s="5">
        <v>42610</v>
      </c>
      <c r="P191" s="6" t="s">
        <v>19</v>
      </c>
      <c r="Q191" s="7" t="s">
        <v>52</v>
      </c>
    </row>
    <row r="192" spans="2:17" x14ac:dyDescent="0.25">
      <c r="B192" s="1">
        <f t="shared" si="6"/>
        <v>191</v>
      </c>
      <c r="C192" s="15">
        <v>45963</v>
      </c>
      <c r="D192" s="2">
        <v>1</v>
      </c>
      <c r="E192" s="3">
        <v>45994</v>
      </c>
      <c r="F192" s="18">
        <v>45992</v>
      </c>
      <c r="G192" s="19" t="s">
        <v>467</v>
      </c>
      <c r="H192" s="2" t="s">
        <v>21</v>
      </c>
      <c r="I192" s="2" t="s">
        <v>407</v>
      </c>
      <c r="J192" s="4" t="s">
        <v>90</v>
      </c>
      <c r="K192" s="5">
        <v>1550</v>
      </c>
      <c r="L192" s="5"/>
      <c r="M192" s="5">
        <v>1550</v>
      </c>
      <c r="N192" s="5"/>
      <c r="O192" s="5">
        <v>1550</v>
      </c>
      <c r="P192" s="6" t="s">
        <v>24</v>
      </c>
      <c r="Q192" s="7" t="s">
        <v>37</v>
      </c>
    </row>
    <row r="193" spans="2:17" ht="30" x14ac:dyDescent="0.25">
      <c r="B193" s="1">
        <f t="shared" si="6"/>
        <v>192</v>
      </c>
      <c r="C193" s="15">
        <v>45992</v>
      </c>
      <c r="D193" s="2" t="s">
        <v>408</v>
      </c>
      <c r="E193" s="3">
        <v>46006</v>
      </c>
      <c r="F193" s="18">
        <v>45962</v>
      </c>
      <c r="G193" s="19" t="s">
        <v>467</v>
      </c>
      <c r="H193" s="2" t="s">
        <v>168</v>
      </c>
      <c r="I193" s="2" t="s">
        <v>169</v>
      </c>
      <c r="J193" s="4" t="s">
        <v>170</v>
      </c>
      <c r="K193" s="5">
        <v>77220</v>
      </c>
      <c r="L193" s="5">
        <f t="shared" ref="L193:L209" si="11">K193*18%</f>
        <v>13899.6</v>
      </c>
      <c r="M193" s="5">
        <f>K193+L193</f>
        <v>91119.6</v>
      </c>
      <c r="N193" s="5">
        <f t="shared" ref="N193:N208" si="12">K193*1%</f>
        <v>772.2</v>
      </c>
      <c r="O193" s="5">
        <f>M193-N193</f>
        <v>90347.400000000009</v>
      </c>
      <c r="P193" s="6" t="s">
        <v>19</v>
      </c>
      <c r="Q193" s="7" t="s">
        <v>20</v>
      </c>
    </row>
    <row r="194" spans="2:17" ht="30" x14ac:dyDescent="0.25">
      <c r="B194" s="1">
        <f t="shared" si="6"/>
        <v>193</v>
      </c>
      <c r="C194" s="15">
        <v>45992</v>
      </c>
      <c r="D194" s="2" t="s">
        <v>408</v>
      </c>
      <c r="E194" s="3">
        <v>46006</v>
      </c>
      <c r="F194" s="18">
        <v>45962</v>
      </c>
      <c r="G194" s="19" t="s">
        <v>467</v>
      </c>
      <c r="H194" s="2" t="s">
        <v>168</v>
      </c>
      <c r="I194" s="2" t="s">
        <v>171</v>
      </c>
      <c r="J194" s="4" t="s">
        <v>170</v>
      </c>
      <c r="K194" s="5">
        <v>58333</v>
      </c>
      <c r="L194" s="5">
        <f t="shared" si="11"/>
        <v>10499.94</v>
      </c>
      <c r="M194" s="5">
        <f t="shared" ref="M194:M207" si="13">K194+L194</f>
        <v>68832.94</v>
      </c>
      <c r="N194" s="5">
        <f t="shared" si="12"/>
        <v>583.33000000000004</v>
      </c>
      <c r="O194" s="5">
        <f t="shared" ref="O194:O207" si="14">M194-N194</f>
        <v>68249.61</v>
      </c>
      <c r="P194" s="6" t="s">
        <v>19</v>
      </c>
      <c r="Q194" s="7" t="s">
        <v>20</v>
      </c>
    </row>
    <row r="195" spans="2:17" ht="30" x14ac:dyDescent="0.25">
      <c r="B195" s="1">
        <f t="shared" si="6"/>
        <v>194</v>
      </c>
      <c r="C195" s="15">
        <v>45992</v>
      </c>
      <c r="D195" s="2" t="s">
        <v>408</v>
      </c>
      <c r="E195" s="3">
        <v>46006</v>
      </c>
      <c r="F195" s="18">
        <v>45962</v>
      </c>
      <c r="G195" s="19" t="s">
        <v>467</v>
      </c>
      <c r="H195" s="2" t="s">
        <v>168</v>
      </c>
      <c r="I195" s="2" t="s">
        <v>172</v>
      </c>
      <c r="J195" s="4" t="s">
        <v>170</v>
      </c>
      <c r="K195" s="5">
        <v>53280</v>
      </c>
      <c r="L195" s="5">
        <f t="shared" si="11"/>
        <v>9590.4</v>
      </c>
      <c r="M195" s="5">
        <f t="shared" si="13"/>
        <v>62870.400000000001</v>
      </c>
      <c r="N195" s="5">
        <f t="shared" si="12"/>
        <v>532.79999999999995</v>
      </c>
      <c r="O195" s="5">
        <f t="shared" si="14"/>
        <v>62337.599999999999</v>
      </c>
      <c r="P195" s="6" t="s">
        <v>19</v>
      </c>
      <c r="Q195" s="7" t="s">
        <v>20</v>
      </c>
    </row>
    <row r="196" spans="2:17" ht="30" x14ac:dyDescent="0.25">
      <c r="B196" s="1">
        <f t="shared" ref="B196:B247" si="15">B195+1</f>
        <v>195</v>
      </c>
      <c r="C196" s="15">
        <v>45992</v>
      </c>
      <c r="D196" s="2" t="s">
        <v>408</v>
      </c>
      <c r="E196" s="3">
        <v>46006</v>
      </c>
      <c r="F196" s="18">
        <v>45962</v>
      </c>
      <c r="G196" s="19" t="s">
        <v>467</v>
      </c>
      <c r="H196" s="2" t="s">
        <v>168</v>
      </c>
      <c r="I196" s="2" t="s">
        <v>173</v>
      </c>
      <c r="J196" s="4" t="s">
        <v>170</v>
      </c>
      <c r="K196" s="5">
        <v>37888</v>
      </c>
      <c r="L196" s="5">
        <f t="shared" si="11"/>
        <v>6819.84</v>
      </c>
      <c r="M196" s="5">
        <f t="shared" si="13"/>
        <v>44707.839999999997</v>
      </c>
      <c r="N196" s="5">
        <f t="shared" si="12"/>
        <v>378.88</v>
      </c>
      <c r="O196" s="5">
        <f t="shared" si="14"/>
        <v>44328.959999999999</v>
      </c>
      <c r="P196" s="6" t="s">
        <v>19</v>
      </c>
      <c r="Q196" s="7" t="s">
        <v>20</v>
      </c>
    </row>
    <row r="197" spans="2:17" ht="30" x14ac:dyDescent="0.25">
      <c r="B197" s="1">
        <f t="shared" si="15"/>
        <v>196</v>
      </c>
      <c r="C197" s="15">
        <v>45992</v>
      </c>
      <c r="D197" s="2" t="s">
        <v>408</v>
      </c>
      <c r="E197" s="3">
        <v>46006</v>
      </c>
      <c r="F197" s="18">
        <v>45962</v>
      </c>
      <c r="G197" s="19" t="s">
        <v>467</v>
      </c>
      <c r="H197" s="2" t="s">
        <v>168</v>
      </c>
      <c r="I197" s="2" t="s">
        <v>174</v>
      </c>
      <c r="J197" s="4" t="s">
        <v>170</v>
      </c>
      <c r="K197" s="5">
        <v>31806</v>
      </c>
      <c r="L197" s="5">
        <f t="shared" si="11"/>
        <v>5725.08</v>
      </c>
      <c r="M197" s="5">
        <f t="shared" si="13"/>
        <v>37531.08</v>
      </c>
      <c r="N197" s="5">
        <f t="shared" si="12"/>
        <v>318.06</v>
      </c>
      <c r="O197" s="5">
        <f t="shared" si="14"/>
        <v>37213.020000000004</v>
      </c>
      <c r="P197" s="6" t="s">
        <v>19</v>
      </c>
      <c r="Q197" s="7" t="s">
        <v>20</v>
      </c>
    </row>
    <row r="198" spans="2:17" ht="30" x14ac:dyDescent="0.25">
      <c r="B198" s="1">
        <f t="shared" si="15"/>
        <v>197</v>
      </c>
      <c r="C198" s="15">
        <v>45992</v>
      </c>
      <c r="D198" s="2" t="s">
        <v>408</v>
      </c>
      <c r="E198" s="3">
        <v>46006</v>
      </c>
      <c r="F198" s="18">
        <v>45962</v>
      </c>
      <c r="G198" s="19" t="s">
        <v>467</v>
      </c>
      <c r="H198" s="2" t="s">
        <v>168</v>
      </c>
      <c r="I198" s="2" t="s">
        <v>175</v>
      </c>
      <c r="J198" s="4" t="s">
        <v>176</v>
      </c>
      <c r="K198" s="5">
        <v>191112</v>
      </c>
      <c r="L198" s="5">
        <f t="shared" si="11"/>
        <v>34400.159999999996</v>
      </c>
      <c r="M198" s="5">
        <f t="shared" si="13"/>
        <v>225512.16</v>
      </c>
      <c r="N198" s="5">
        <f t="shared" si="12"/>
        <v>1911.1200000000001</v>
      </c>
      <c r="O198" s="5">
        <f t="shared" si="14"/>
        <v>223601.04</v>
      </c>
      <c r="P198" s="6" t="s">
        <v>19</v>
      </c>
      <c r="Q198" s="7" t="s">
        <v>25</v>
      </c>
    </row>
    <row r="199" spans="2:17" ht="30" x14ac:dyDescent="0.25">
      <c r="B199" s="1">
        <f t="shared" si="15"/>
        <v>198</v>
      </c>
      <c r="C199" s="15">
        <v>45992</v>
      </c>
      <c r="D199" s="2" t="s">
        <v>408</v>
      </c>
      <c r="E199" s="3">
        <v>46006</v>
      </c>
      <c r="F199" s="18">
        <v>45962</v>
      </c>
      <c r="G199" s="19" t="s">
        <v>467</v>
      </c>
      <c r="H199" s="2" t="s">
        <v>168</v>
      </c>
      <c r="I199" s="2" t="s">
        <v>177</v>
      </c>
      <c r="J199" s="4" t="s">
        <v>178</v>
      </c>
      <c r="K199" s="5">
        <v>211271</v>
      </c>
      <c r="L199" s="5">
        <f t="shared" si="11"/>
        <v>38028.78</v>
      </c>
      <c r="M199" s="5">
        <f t="shared" si="13"/>
        <v>249299.78</v>
      </c>
      <c r="N199" s="5">
        <f t="shared" si="12"/>
        <v>2112.71</v>
      </c>
      <c r="O199" s="5">
        <f t="shared" si="14"/>
        <v>247187.07</v>
      </c>
      <c r="P199" s="6" t="s">
        <v>19</v>
      </c>
      <c r="Q199" s="7" t="s">
        <v>37</v>
      </c>
    </row>
    <row r="200" spans="2:17" ht="30" x14ac:dyDescent="0.25">
      <c r="B200" s="1">
        <f t="shared" si="15"/>
        <v>199</v>
      </c>
      <c r="C200" s="15">
        <v>45992</v>
      </c>
      <c r="D200" s="2" t="s">
        <v>408</v>
      </c>
      <c r="E200" s="3">
        <v>46006</v>
      </c>
      <c r="F200" s="18">
        <v>45962</v>
      </c>
      <c r="G200" s="19" t="s">
        <v>467</v>
      </c>
      <c r="H200" s="2" t="s">
        <v>168</v>
      </c>
      <c r="I200" s="2" t="s">
        <v>179</v>
      </c>
      <c r="J200" s="4" t="s">
        <v>180</v>
      </c>
      <c r="K200" s="5">
        <v>26100</v>
      </c>
      <c r="L200" s="5">
        <f t="shared" si="11"/>
        <v>4698</v>
      </c>
      <c r="M200" s="5">
        <f t="shared" si="13"/>
        <v>30798</v>
      </c>
      <c r="N200" s="5">
        <f t="shared" si="12"/>
        <v>261</v>
      </c>
      <c r="O200" s="5">
        <f t="shared" si="14"/>
        <v>30537</v>
      </c>
      <c r="P200" s="6" t="s">
        <v>19</v>
      </c>
      <c r="Q200" s="7" t="s">
        <v>106</v>
      </c>
    </row>
    <row r="201" spans="2:17" ht="30" x14ac:dyDescent="0.25">
      <c r="B201" s="1">
        <f t="shared" si="15"/>
        <v>200</v>
      </c>
      <c r="C201" s="15">
        <v>45992</v>
      </c>
      <c r="D201" s="2" t="s">
        <v>408</v>
      </c>
      <c r="E201" s="3">
        <v>46006</v>
      </c>
      <c r="F201" s="18">
        <v>45962</v>
      </c>
      <c r="G201" s="19" t="s">
        <v>467</v>
      </c>
      <c r="H201" s="2" t="s">
        <v>168</v>
      </c>
      <c r="I201" s="2" t="s">
        <v>181</v>
      </c>
      <c r="J201" s="4" t="s">
        <v>180</v>
      </c>
      <c r="K201" s="5">
        <v>29750</v>
      </c>
      <c r="L201" s="5">
        <f t="shared" si="11"/>
        <v>5355</v>
      </c>
      <c r="M201" s="5">
        <f t="shared" si="13"/>
        <v>35105</v>
      </c>
      <c r="N201" s="5">
        <f t="shared" si="12"/>
        <v>297.5</v>
      </c>
      <c r="O201" s="5">
        <f t="shared" si="14"/>
        <v>34807.5</v>
      </c>
      <c r="P201" s="6" t="s">
        <v>19</v>
      </c>
      <c r="Q201" s="7" t="s">
        <v>106</v>
      </c>
    </row>
    <row r="202" spans="2:17" ht="30" x14ac:dyDescent="0.25">
      <c r="B202" s="1">
        <f t="shared" si="15"/>
        <v>201</v>
      </c>
      <c r="C202" s="15">
        <v>45992</v>
      </c>
      <c r="D202" s="2" t="s">
        <v>408</v>
      </c>
      <c r="E202" s="3">
        <v>46006</v>
      </c>
      <c r="F202" s="18">
        <v>45962</v>
      </c>
      <c r="G202" s="19" t="s">
        <v>467</v>
      </c>
      <c r="H202" s="2" t="s">
        <v>168</v>
      </c>
      <c r="I202" s="2" t="s">
        <v>182</v>
      </c>
      <c r="J202" s="4" t="s">
        <v>183</v>
      </c>
      <c r="K202" s="5">
        <v>26667</v>
      </c>
      <c r="L202" s="5">
        <f t="shared" si="11"/>
        <v>4800.0599999999995</v>
      </c>
      <c r="M202" s="5">
        <f t="shared" si="13"/>
        <v>31467.059999999998</v>
      </c>
      <c r="N202" s="5">
        <f t="shared" si="12"/>
        <v>266.67</v>
      </c>
      <c r="O202" s="5">
        <f t="shared" si="14"/>
        <v>31200.39</v>
      </c>
      <c r="P202" s="6" t="s">
        <v>19</v>
      </c>
      <c r="Q202" s="7" t="s">
        <v>72</v>
      </c>
    </row>
    <row r="203" spans="2:17" ht="30" x14ac:dyDescent="0.25">
      <c r="B203" s="1">
        <f t="shared" si="15"/>
        <v>202</v>
      </c>
      <c r="C203" s="15">
        <v>45992</v>
      </c>
      <c r="D203" s="2" t="s">
        <v>408</v>
      </c>
      <c r="E203" s="3">
        <v>46006</v>
      </c>
      <c r="F203" s="18">
        <v>45962</v>
      </c>
      <c r="G203" s="19" t="s">
        <v>467</v>
      </c>
      <c r="H203" s="2" t="s">
        <v>168</v>
      </c>
      <c r="I203" s="2" t="s">
        <v>355</v>
      </c>
      <c r="J203" s="4" t="s">
        <v>180</v>
      </c>
      <c r="K203" s="5">
        <v>46000</v>
      </c>
      <c r="L203" s="5">
        <f t="shared" si="11"/>
        <v>8280</v>
      </c>
      <c r="M203" s="5">
        <f t="shared" si="13"/>
        <v>54280</v>
      </c>
      <c r="N203" s="5">
        <f t="shared" si="12"/>
        <v>460</v>
      </c>
      <c r="O203" s="5">
        <f t="shared" si="14"/>
        <v>53820</v>
      </c>
      <c r="P203" s="6" t="s">
        <v>19</v>
      </c>
      <c r="Q203" s="7" t="s">
        <v>106</v>
      </c>
    </row>
    <row r="204" spans="2:17" ht="30" x14ac:dyDescent="0.25">
      <c r="B204" s="1">
        <f t="shared" si="15"/>
        <v>203</v>
      </c>
      <c r="C204" s="15">
        <v>45992</v>
      </c>
      <c r="D204" s="2" t="s">
        <v>408</v>
      </c>
      <c r="E204" s="3">
        <v>46006</v>
      </c>
      <c r="F204" s="18">
        <v>45962</v>
      </c>
      <c r="G204" s="19" t="s">
        <v>467</v>
      </c>
      <c r="H204" s="2" t="s">
        <v>168</v>
      </c>
      <c r="I204" s="2" t="s">
        <v>184</v>
      </c>
      <c r="J204" s="4" t="s">
        <v>183</v>
      </c>
      <c r="K204" s="5">
        <v>641583</v>
      </c>
      <c r="L204" s="5">
        <f t="shared" si="11"/>
        <v>115484.94</v>
      </c>
      <c r="M204" s="5">
        <f t="shared" si="13"/>
        <v>757067.94</v>
      </c>
      <c r="N204" s="5">
        <f t="shared" si="12"/>
        <v>6415.83</v>
      </c>
      <c r="O204" s="5">
        <f t="shared" si="14"/>
        <v>750652.11</v>
      </c>
      <c r="P204" s="6" t="s">
        <v>19</v>
      </c>
      <c r="Q204" s="7" t="s">
        <v>72</v>
      </c>
    </row>
    <row r="205" spans="2:17" ht="30" x14ac:dyDescent="0.25">
      <c r="B205" s="1">
        <f t="shared" si="15"/>
        <v>204</v>
      </c>
      <c r="C205" s="15">
        <v>45992</v>
      </c>
      <c r="D205" s="2" t="s">
        <v>408</v>
      </c>
      <c r="E205" s="3">
        <v>46006</v>
      </c>
      <c r="F205" s="18">
        <v>45962</v>
      </c>
      <c r="G205" s="19" t="s">
        <v>467</v>
      </c>
      <c r="H205" s="2" t="s">
        <v>168</v>
      </c>
      <c r="I205" s="2" t="s">
        <v>185</v>
      </c>
      <c r="J205" s="4" t="s">
        <v>183</v>
      </c>
      <c r="K205" s="5">
        <v>20000</v>
      </c>
      <c r="L205" s="5">
        <f t="shared" si="11"/>
        <v>3600</v>
      </c>
      <c r="M205" s="5">
        <f t="shared" si="13"/>
        <v>23600</v>
      </c>
      <c r="N205" s="5">
        <f t="shared" si="12"/>
        <v>200</v>
      </c>
      <c r="O205" s="5">
        <f t="shared" si="14"/>
        <v>23400</v>
      </c>
      <c r="P205" s="6" t="s">
        <v>19</v>
      </c>
      <c r="Q205" s="7" t="s">
        <v>72</v>
      </c>
    </row>
    <row r="206" spans="2:17" ht="30" x14ac:dyDescent="0.25">
      <c r="B206" s="1">
        <f t="shared" si="15"/>
        <v>205</v>
      </c>
      <c r="C206" s="15">
        <v>45992</v>
      </c>
      <c r="D206" s="2" t="s">
        <v>408</v>
      </c>
      <c r="E206" s="3">
        <v>46006</v>
      </c>
      <c r="F206" s="18">
        <v>45962</v>
      </c>
      <c r="G206" s="19" t="s">
        <v>467</v>
      </c>
      <c r="H206" s="2" t="s">
        <v>168</v>
      </c>
      <c r="I206" s="2" t="s">
        <v>186</v>
      </c>
      <c r="J206" s="4" t="s">
        <v>356</v>
      </c>
      <c r="K206" s="5">
        <v>19000</v>
      </c>
      <c r="L206" s="5">
        <f t="shared" si="11"/>
        <v>3420</v>
      </c>
      <c r="M206" s="5">
        <f t="shared" si="13"/>
        <v>22420</v>
      </c>
      <c r="N206" s="5">
        <f t="shared" si="12"/>
        <v>190</v>
      </c>
      <c r="O206" s="5">
        <f t="shared" si="14"/>
        <v>22230</v>
      </c>
      <c r="P206" s="6" t="s">
        <v>19</v>
      </c>
      <c r="Q206" s="7" t="s">
        <v>31</v>
      </c>
    </row>
    <row r="207" spans="2:17" ht="30" x14ac:dyDescent="0.25">
      <c r="B207" s="1">
        <f t="shared" si="15"/>
        <v>206</v>
      </c>
      <c r="C207" s="15">
        <v>45992</v>
      </c>
      <c r="D207" s="2" t="s">
        <v>408</v>
      </c>
      <c r="E207" s="3">
        <v>46006</v>
      </c>
      <c r="F207" s="18">
        <v>45962</v>
      </c>
      <c r="G207" s="19" t="s">
        <v>467</v>
      </c>
      <c r="H207" s="2" t="s">
        <v>168</v>
      </c>
      <c r="I207" s="2" t="s">
        <v>189</v>
      </c>
      <c r="J207" s="4" t="s">
        <v>183</v>
      </c>
      <c r="K207" s="5">
        <v>36720</v>
      </c>
      <c r="L207" s="5">
        <f t="shared" si="11"/>
        <v>6609.5999999999995</v>
      </c>
      <c r="M207" s="5">
        <f t="shared" si="13"/>
        <v>43329.599999999999</v>
      </c>
      <c r="N207" s="5">
        <f t="shared" si="12"/>
        <v>367.2</v>
      </c>
      <c r="O207" s="5">
        <f t="shared" si="14"/>
        <v>42962.400000000001</v>
      </c>
      <c r="P207" s="6" t="s">
        <v>19</v>
      </c>
      <c r="Q207" s="7" t="s">
        <v>72</v>
      </c>
    </row>
    <row r="208" spans="2:17" ht="30" x14ac:dyDescent="0.25">
      <c r="B208" s="1">
        <f t="shared" si="15"/>
        <v>207</v>
      </c>
      <c r="C208" s="15">
        <v>45992</v>
      </c>
      <c r="D208" s="2" t="s">
        <v>408</v>
      </c>
      <c r="E208" s="3">
        <v>46006</v>
      </c>
      <c r="F208" s="18">
        <v>45962</v>
      </c>
      <c r="G208" s="19" t="s">
        <v>467</v>
      </c>
      <c r="H208" s="2" t="s">
        <v>168</v>
      </c>
      <c r="I208" s="2" t="s">
        <v>357</v>
      </c>
      <c r="J208" s="4" t="s">
        <v>170</v>
      </c>
      <c r="K208" s="5">
        <v>80000</v>
      </c>
      <c r="L208" s="5">
        <f t="shared" si="11"/>
        <v>14400</v>
      </c>
      <c r="M208" s="5">
        <f>K208+L208</f>
        <v>94400</v>
      </c>
      <c r="N208" s="5">
        <f t="shared" si="12"/>
        <v>800</v>
      </c>
      <c r="O208" s="5">
        <f>M208-N208+16300</f>
        <v>109900</v>
      </c>
      <c r="P208" s="6" t="s">
        <v>19</v>
      </c>
      <c r="Q208" s="7" t="s">
        <v>20</v>
      </c>
    </row>
    <row r="209" spans="2:17" x14ac:dyDescent="0.25">
      <c r="B209" s="1">
        <f t="shared" si="15"/>
        <v>208</v>
      </c>
      <c r="C209" s="15">
        <v>45991</v>
      </c>
      <c r="D209" s="2" t="s">
        <v>409</v>
      </c>
      <c r="E209" s="3">
        <v>46001</v>
      </c>
      <c r="F209" s="18">
        <v>45962</v>
      </c>
      <c r="G209" s="19" t="s">
        <v>467</v>
      </c>
      <c r="H209" s="2" t="s">
        <v>161</v>
      </c>
      <c r="I209" s="2" t="s">
        <v>162</v>
      </c>
      <c r="J209" s="4" t="s">
        <v>289</v>
      </c>
      <c r="K209" s="5">
        <v>21000</v>
      </c>
      <c r="L209" s="5">
        <f t="shared" si="11"/>
        <v>3780</v>
      </c>
      <c r="M209" s="5">
        <f>K209+L209</f>
        <v>24780</v>
      </c>
      <c r="N209" s="5">
        <v>210</v>
      </c>
      <c r="O209" s="5">
        <f>M209-N209</f>
        <v>24570</v>
      </c>
      <c r="P209" s="6" t="s">
        <v>19</v>
      </c>
      <c r="Q209" s="7" t="s">
        <v>31</v>
      </c>
    </row>
    <row r="210" spans="2:17" x14ac:dyDescent="0.25">
      <c r="B210" s="1">
        <f t="shared" si="15"/>
        <v>209</v>
      </c>
      <c r="C210" s="15">
        <v>45992</v>
      </c>
      <c r="D210" s="2" t="s">
        <v>410</v>
      </c>
      <c r="E210" s="3">
        <v>46001</v>
      </c>
      <c r="F210" s="18">
        <v>45962</v>
      </c>
      <c r="G210" s="19" t="s">
        <v>467</v>
      </c>
      <c r="H210" s="2" t="s">
        <v>69</v>
      </c>
      <c r="I210" s="2" t="s">
        <v>411</v>
      </c>
      <c r="J210" s="4" t="s">
        <v>275</v>
      </c>
      <c r="K210" s="5">
        <v>103000</v>
      </c>
      <c r="L210" s="5">
        <f t="shared" ref="L210:L216" si="16">K210*18%</f>
        <v>18540</v>
      </c>
      <c r="M210" s="5">
        <f t="shared" ref="M210:M218" si="17">K210+L210</f>
        <v>121540</v>
      </c>
      <c r="N210" s="5">
        <v>1030</v>
      </c>
      <c r="O210" s="5">
        <f t="shared" ref="O210:O216" si="18">M210-N210</f>
        <v>120510</v>
      </c>
      <c r="P210" s="6" t="s">
        <v>19</v>
      </c>
      <c r="Q210" s="7" t="s">
        <v>72</v>
      </c>
    </row>
    <row r="211" spans="2:17" x14ac:dyDescent="0.25">
      <c r="B211" s="1">
        <f t="shared" si="15"/>
        <v>210</v>
      </c>
      <c r="C211" s="15">
        <v>45993</v>
      </c>
      <c r="D211" s="2">
        <v>29</v>
      </c>
      <c r="E211" s="3">
        <v>46001</v>
      </c>
      <c r="F211" s="18">
        <v>45962</v>
      </c>
      <c r="G211" s="19" t="s">
        <v>467</v>
      </c>
      <c r="H211" s="2" t="s">
        <v>132</v>
      </c>
      <c r="I211" s="2" t="s">
        <v>412</v>
      </c>
      <c r="J211" s="4" t="s">
        <v>359</v>
      </c>
      <c r="K211" s="5">
        <v>89888</v>
      </c>
      <c r="L211" s="5">
        <f t="shared" si="16"/>
        <v>16179.84</v>
      </c>
      <c r="M211" s="5">
        <f t="shared" si="17"/>
        <v>106067.84</v>
      </c>
      <c r="N211" s="5">
        <v>8989</v>
      </c>
      <c r="O211" s="5">
        <f t="shared" si="18"/>
        <v>97078.84</v>
      </c>
      <c r="P211" s="6" t="s">
        <v>19</v>
      </c>
      <c r="Q211" s="7" t="s">
        <v>135</v>
      </c>
    </row>
    <row r="212" spans="2:17" x14ac:dyDescent="0.25">
      <c r="B212" s="1">
        <f t="shared" si="15"/>
        <v>211</v>
      </c>
      <c r="C212" s="15">
        <v>45983</v>
      </c>
      <c r="D212" s="2" t="s">
        <v>413</v>
      </c>
      <c r="E212" s="3">
        <v>46001</v>
      </c>
      <c r="F212" s="18">
        <v>45992</v>
      </c>
      <c r="G212" s="19" t="s">
        <v>467</v>
      </c>
      <c r="H212" s="2" t="s">
        <v>349</v>
      </c>
      <c r="I212" s="2" t="s">
        <v>414</v>
      </c>
      <c r="J212" s="4" t="s">
        <v>351</v>
      </c>
      <c r="K212" s="5">
        <v>37000</v>
      </c>
      <c r="L212" s="5">
        <f t="shared" si="16"/>
        <v>6660</v>
      </c>
      <c r="M212" s="5">
        <f t="shared" si="17"/>
        <v>43660</v>
      </c>
      <c r="N212" s="5"/>
      <c r="O212" s="5">
        <v>6600</v>
      </c>
      <c r="P212" s="6" t="s">
        <v>24</v>
      </c>
      <c r="Q212" s="7" t="s">
        <v>31</v>
      </c>
    </row>
    <row r="213" spans="2:17" x14ac:dyDescent="0.25">
      <c r="B213" s="1">
        <f t="shared" si="15"/>
        <v>212</v>
      </c>
      <c r="C213" s="15">
        <v>45992</v>
      </c>
      <c r="D213" s="2">
        <v>12</v>
      </c>
      <c r="E213" s="3">
        <v>46001</v>
      </c>
      <c r="F213" s="18">
        <v>45992</v>
      </c>
      <c r="G213" s="19" t="s">
        <v>467</v>
      </c>
      <c r="H213" s="2" t="s">
        <v>415</v>
      </c>
      <c r="I213" s="2" t="s">
        <v>416</v>
      </c>
      <c r="J213" s="4" t="s">
        <v>242</v>
      </c>
      <c r="K213" s="5">
        <v>505000</v>
      </c>
      <c r="L213" s="5">
        <f t="shared" si="16"/>
        <v>90900</v>
      </c>
      <c r="M213" s="5">
        <f t="shared" si="17"/>
        <v>595900</v>
      </c>
      <c r="N213" s="5">
        <v>10100</v>
      </c>
      <c r="O213" s="5">
        <v>338350</v>
      </c>
      <c r="P213" s="6" t="s">
        <v>36</v>
      </c>
      <c r="Q213" s="7" t="s">
        <v>37</v>
      </c>
    </row>
    <row r="214" spans="2:17" x14ac:dyDescent="0.25">
      <c r="B214" s="1">
        <f t="shared" si="15"/>
        <v>213</v>
      </c>
      <c r="C214" s="15">
        <v>45993</v>
      </c>
      <c r="D214" s="2">
        <v>3589</v>
      </c>
      <c r="E214" s="3">
        <v>46001</v>
      </c>
      <c r="F214" s="18">
        <v>45962</v>
      </c>
      <c r="G214" s="19" t="s">
        <v>467</v>
      </c>
      <c r="H214" s="2" t="s">
        <v>136</v>
      </c>
      <c r="I214" s="2" t="s">
        <v>417</v>
      </c>
      <c r="J214" s="4" t="s">
        <v>341</v>
      </c>
      <c r="K214" s="5">
        <v>361056.3</v>
      </c>
      <c r="L214" s="5">
        <f t="shared" si="16"/>
        <v>64990.133999999998</v>
      </c>
      <c r="M214" s="5">
        <f t="shared" si="17"/>
        <v>426046.43400000001</v>
      </c>
      <c r="N214" s="5">
        <v>14368</v>
      </c>
      <c r="O214" s="5">
        <f t="shared" si="18"/>
        <v>411678.43400000001</v>
      </c>
      <c r="P214" s="6" t="s">
        <v>19</v>
      </c>
      <c r="Q214" s="7" t="s">
        <v>37</v>
      </c>
    </row>
    <row r="215" spans="2:17" x14ac:dyDescent="0.25">
      <c r="B215" s="1">
        <f t="shared" si="15"/>
        <v>214</v>
      </c>
      <c r="C215" s="15">
        <v>45992</v>
      </c>
      <c r="D215" s="2" t="s">
        <v>418</v>
      </c>
      <c r="E215" s="3">
        <v>46001</v>
      </c>
      <c r="F215" s="18">
        <v>45962</v>
      </c>
      <c r="G215" s="19" t="s">
        <v>467</v>
      </c>
      <c r="H215" s="2" t="s">
        <v>204</v>
      </c>
      <c r="I215" s="2" t="s">
        <v>205</v>
      </c>
      <c r="J215" s="4" t="s">
        <v>347</v>
      </c>
      <c r="K215" s="5">
        <v>8980</v>
      </c>
      <c r="L215" s="5">
        <f t="shared" si="16"/>
        <v>1616.3999999999999</v>
      </c>
      <c r="M215" s="5">
        <f t="shared" si="17"/>
        <v>10596.4</v>
      </c>
      <c r="N215" s="5">
        <v>90</v>
      </c>
      <c r="O215" s="5">
        <f t="shared" si="18"/>
        <v>10506.4</v>
      </c>
      <c r="P215" s="6" t="s">
        <v>19</v>
      </c>
      <c r="Q215" s="7" t="s">
        <v>37</v>
      </c>
    </row>
    <row r="216" spans="2:17" x14ac:dyDescent="0.25">
      <c r="B216" s="1">
        <f t="shared" si="15"/>
        <v>215</v>
      </c>
      <c r="C216" s="15">
        <v>45992</v>
      </c>
      <c r="D216" s="2">
        <v>1</v>
      </c>
      <c r="E216" s="3">
        <v>46001</v>
      </c>
      <c r="F216" s="18">
        <v>45992</v>
      </c>
      <c r="G216" s="19" t="s">
        <v>467</v>
      </c>
      <c r="H216" s="2" t="s">
        <v>236</v>
      </c>
      <c r="I216" s="2" t="s">
        <v>419</v>
      </c>
      <c r="J216" s="4" t="s">
        <v>420</v>
      </c>
      <c r="K216" s="5">
        <v>3600</v>
      </c>
      <c r="L216" s="5">
        <f t="shared" si="16"/>
        <v>648</v>
      </c>
      <c r="M216" s="5">
        <f t="shared" si="17"/>
        <v>4248</v>
      </c>
      <c r="N216" s="5"/>
      <c r="O216" s="5">
        <f t="shared" si="18"/>
        <v>4248</v>
      </c>
      <c r="P216" s="6" t="s">
        <v>24</v>
      </c>
      <c r="Q216" s="7" t="s">
        <v>52</v>
      </c>
    </row>
    <row r="217" spans="2:17" x14ac:dyDescent="0.25">
      <c r="B217" s="1">
        <f t="shared" si="15"/>
        <v>216</v>
      </c>
      <c r="C217" s="15">
        <v>45992</v>
      </c>
      <c r="D217" s="2">
        <v>15</v>
      </c>
      <c r="E217" s="3">
        <v>46001</v>
      </c>
      <c r="F217" s="18">
        <v>45992</v>
      </c>
      <c r="G217" s="19" t="s">
        <v>467</v>
      </c>
      <c r="H217" s="2" t="s">
        <v>360</v>
      </c>
      <c r="I217" s="2" t="s">
        <v>361</v>
      </c>
      <c r="J217" s="4" t="s">
        <v>362</v>
      </c>
      <c r="K217" s="5">
        <v>21244</v>
      </c>
      <c r="L217" s="5">
        <v>3823.92</v>
      </c>
      <c r="M217" s="5">
        <f t="shared" si="17"/>
        <v>25067.919999999998</v>
      </c>
      <c r="N217" s="5"/>
      <c r="O217" s="5">
        <v>3824</v>
      </c>
      <c r="P217" s="6" t="s">
        <v>24</v>
      </c>
      <c r="Q217" s="7" t="s">
        <v>37</v>
      </c>
    </row>
    <row r="218" spans="2:17" x14ac:dyDescent="0.25">
      <c r="B218" s="1">
        <f t="shared" si="15"/>
        <v>217</v>
      </c>
      <c r="C218" s="15">
        <v>45992</v>
      </c>
      <c r="D218" s="2">
        <v>14</v>
      </c>
      <c r="E218" s="3">
        <v>46001</v>
      </c>
      <c r="F218" s="18">
        <v>45992</v>
      </c>
      <c r="G218" s="19" t="s">
        <v>467</v>
      </c>
      <c r="H218" s="2" t="s">
        <v>360</v>
      </c>
      <c r="I218" s="2" t="s">
        <v>363</v>
      </c>
      <c r="J218" s="4" t="s">
        <v>362</v>
      </c>
      <c r="K218" s="5">
        <v>6480</v>
      </c>
      <c r="L218" s="5">
        <v>1166.4000000000001</v>
      </c>
      <c r="M218" s="5">
        <f t="shared" si="17"/>
        <v>7646.4</v>
      </c>
      <c r="N218" s="5"/>
      <c r="O218" s="5">
        <v>1166</v>
      </c>
      <c r="P218" s="6" t="s">
        <v>24</v>
      </c>
      <c r="Q218" s="7" t="s">
        <v>37</v>
      </c>
    </row>
    <row r="219" spans="2:17" x14ac:dyDescent="0.25">
      <c r="B219" s="1">
        <f t="shared" si="15"/>
        <v>218</v>
      </c>
      <c r="C219" s="15">
        <v>45996</v>
      </c>
      <c r="D219" s="2">
        <v>1</v>
      </c>
      <c r="E219" s="3">
        <v>46007</v>
      </c>
      <c r="F219" s="18">
        <v>45992</v>
      </c>
      <c r="G219" s="19" t="s">
        <v>467</v>
      </c>
      <c r="H219" s="2" t="s">
        <v>421</v>
      </c>
      <c r="I219" s="2" t="s">
        <v>422</v>
      </c>
      <c r="J219" s="4" t="s">
        <v>423</v>
      </c>
      <c r="K219" s="5">
        <v>35500</v>
      </c>
      <c r="L219" s="5"/>
      <c r="M219" s="5">
        <v>35500</v>
      </c>
      <c r="N219" s="5"/>
      <c r="O219" s="5">
        <v>35500</v>
      </c>
      <c r="P219" s="6" t="s">
        <v>24</v>
      </c>
      <c r="Q219" s="7" t="s">
        <v>67</v>
      </c>
    </row>
    <row r="220" spans="2:17" x14ac:dyDescent="0.25">
      <c r="B220" s="1">
        <f t="shared" si="15"/>
        <v>219</v>
      </c>
      <c r="C220" s="15">
        <v>46003</v>
      </c>
      <c r="D220" s="2">
        <v>1</v>
      </c>
      <c r="E220" s="3">
        <v>46007</v>
      </c>
      <c r="F220" s="18">
        <v>45992</v>
      </c>
      <c r="G220" s="19" t="s">
        <v>467</v>
      </c>
      <c r="H220" s="2" t="s">
        <v>377</v>
      </c>
      <c r="I220" s="2" t="s">
        <v>424</v>
      </c>
      <c r="J220" s="4" t="s">
        <v>379</v>
      </c>
      <c r="K220" s="5">
        <v>36000</v>
      </c>
      <c r="L220" s="5">
        <f t="shared" ref="L220:L221" si="19">K220*18%</f>
        <v>6480</v>
      </c>
      <c r="M220" s="5">
        <f>K220+L220</f>
        <v>42480</v>
      </c>
      <c r="N220" s="5"/>
      <c r="O220" s="5">
        <v>24480</v>
      </c>
      <c r="P220" s="6" t="s">
        <v>24</v>
      </c>
      <c r="Q220" s="7" t="s">
        <v>106</v>
      </c>
    </row>
    <row r="221" spans="2:17" x14ac:dyDescent="0.25">
      <c r="B221" s="1">
        <f t="shared" si="15"/>
        <v>220</v>
      </c>
      <c r="C221" s="15">
        <v>46003</v>
      </c>
      <c r="D221" s="2">
        <v>2</v>
      </c>
      <c r="E221" s="3">
        <v>46007</v>
      </c>
      <c r="F221" s="18">
        <v>45992</v>
      </c>
      <c r="G221" s="19" t="s">
        <v>467</v>
      </c>
      <c r="H221" s="2" t="s">
        <v>377</v>
      </c>
      <c r="I221" s="2" t="s">
        <v>425</v>
      </c>
      <c r="J221" s="4" t="s">
        <v>379</v>
      </c>
      <c r="K221" s="5">
        <v>41850</v>
      </c>
      <c r="L221" s="5">
        <f t="shared" si="19"/>
        <v>7533</v>
      </c>
      <c r="M221" s="5">
        <f t="shared" ref="M221:M227" si="20">K221+L221</f>
        <v>49383</v>
      </c>
      <c r="N221" s="5"/>
      <c r="O221" s="5">
        <v>28458</v>
      </c>
      <c r="P221" s="6" t="s">
        <v>24</v>
      </c>
      <c r="Q221" s="7" t="s">
        <v>106</v>
      </c>
    </row>
    <row r="222" spans="2:17" x14ac:dyDescent="0.25">
      <c r="B222" s="1">
        <f t="shared" si="15"/>
        <v>221</v>
      </c>
      <c r="C222" s="15">
        <v>46003</v>
      </c>
      <c r="D222" s="2">
        <v>3</v>
      </c>
      <c r="E222" s="3">
        <v>46007</v>
      </c>
      <c r="F222" s="18">
        <v>45992</v>
      </c>
      <c r="G222" s="19" t="s">
        <v>467</v>
      </c>
      <c r="H222" s="2" t="s">
        <v>377</v>
      </c>
      <c r="I222" s="2" t="s">
        <v>426</v>
      </c>
      <c r="J222" s="4" t="s">
        <v>379</v>
      </c>
      <c r="K222" s="5">
        <v>32150</v>
      </c>
      <c r="L222" s="5">
        <f>K222*18%</f>
        <v>5787</v>
      </c>
      <c r="M222" s="5">
        <f t="shared" si="20"/>
        <v>37937</v>
      </c>
      <c r="N222" s="5"/>
      <c r="O222" s="5">
        <v>21862</v>
      </c>
      <c r="P222" s="6" t="s">
        <v>24</v>
      </c>
      <c r="Q222" s="7" t="s">
        <v>106</v>
      </c>
    </row>
    <row r="223" spans="2:17" ht="30" x14ac:dyDescent="0.25">
      <c r="B223" s="1">
        <f t="shared" si="15"/>
        <v>222</v>
      </c>
      <c r="C223" s="15">
        <v>45782</v>
      </c>
      <c r="D223" s="2" t="s">
        <v>427</v>
      </c>
      <c r="E223" s="3">
        <v>46007</v>
      </c>
      <c r="F223" s="18">
        <v>45748</v>
      </c>
      <c r="G223" s="19" t="s">
        <v>467</v>
      </c>
      <c r="H223" s="2" t="s">
        <v>168</v>
      </c>
      <c r="I223" s="2" t="s">
        <v>428</v>
      </c>
      <c r="J223" s="4" t="s">
        <v>170</v>
      </c>
      <c r="K223" s="5">
        <v>1423729</v>
      </c>
      <c r="L223" s="5">
        <f>K223*18%</f>
        <v>256271.22</v>
      </c>
      <c r="M223" s="5">
        <f t="shared" si="20"/>
        <v>1680000.22</v>
      </c>
      <c r="N223" s="5"/>
      <c r="O223" s="5">
        <v>98441</v>
      </c>
      <c r="P223" s="6" t="s">
        <v>19</v>
      </c>
      <c r="Q223" s="7" t="s">
        <v>20</v>
      </c>
    </row>
    <row r="224" spans="2:17" x14ac:dyDescent="0.25">
      <c r="B224" s="1">
        <f t="shared" si="15"/>
        <v>223</v>
      </c>
      <c r="C224" s="15">
        <v>45999</v>
      </c>
      <c r="D224" s="2" t="s">
        <v>429</v>
      </c>
      <c r="E224" s="3">
        <v>46007</v>
      </c>
      <c r="F224" s="18">
        <v>45992</v>
      </c>
      <c r="G224" s="19" t="s">
        <v>467</v>
      </c>
      <c r="H224" s="2" t="s">
        <v>430</v>
      </c>
      <c r="I224" s="2" t="s">
        <v>431</v>
      </c>
      <c r="J224" s="4" t="s">
        <v>432</v>
      </c>
      <c r="K224" s="5">
        <v>20000</v>
      </c>
      <c r="L224" s="5">
        <f t="shared" ref="L224:L227" si="21">K224*18%</f>
        <v>3600</v>
      </c>
      <c r="M224" s="5">
        <f t="shared" si="20"/>
        <v>23600</v>
      </c>
      <c r="N224" s="5">
        <f>K224*10%</f>
        <v>2000</v>
      </c>
      <c r="O224" s="5">
        <f>M224-N224</f>
        <v>21600</v>
      </c>
      <c r="P224" s="6" t="s">
        <v>24</v>
      </c>
      <c r="Q224" s="7" t="s">
        <v>20</v>
      </c>
    </row>
    <row r="225" spans="2:17" ht="30" x14ac:dyDescent="0.25">
      <c r="B225" s="1">
        <f t="shared" si="15"/>
        <v>224</v>
      </c>
      <c r="C225" s="15">
        <v>45996</v>
      </c>
      <c r="D225" s="2">
        <v>44</v>
      </c>
      <c r="E225" s="3">
        <v>46007</v>
      </c>
      <c r="F225" s="18">
        <v>45962</v>
      </c>
      <c r="G225" s="19" t="s">
        <v>467</v>
      </c>
      <c r="H225" s="2" t="s">
        <v>64</v>
      </c>
      <c r="I225" s="2" t="s">
        <v>433</v>
      </c>
      <c r="J225" s="4" t="s">
        <v>353</v>
      </c>
      <c r="K225" s="5">
        <v>459992</v>
      </c>
      <c r="L225" s="5">
        <f t="shared" si="21"/>
        <v>82798.559999999998</v>
      </c>
      <c r="M225" s="5">
        <f t="shared" si="20"/>
        <v>542790.56000000006</v>
      </c>
      <c r="N225" s="5">
        <f>K225*1%</f>
        <v>4599.92</v>
      </c>
      <c r="O225" s="5">
        <f t="shared" ref="O225" si="22">M225-N225</f>
        <v>538190.64</v>
      </c>
      <c r="P225" s="6" t="s">
        <v>19</v>
      </c>
      <c r="Q225" s="7" t="s">
        <v>67</v>
      </c>
    </row>
    <row r="226" spans="2:17" x14ac:dyDescent="0.25">
      <c r="B226" s="1">
        <f t="shared" si="15"/>
        <v>225</v>
      </c>
      <c r="C226" s="15">
        <v>45992</v>
      </c>
      <c r="D226" s="2" t="s">
        <v>434</v>
      </c>
      <c r="E226" s="3">
        <v>46007</v>
      </c>
      <c r="F226" s="18">
        <v>45962</v>
      </c>
      <c r="G226" s="19" t="s">
        <v>467</v>
      </c>
      <c r="H226" s="2" t="s">
        <v>61</v>
      </c>
      <c r="I226" s="2" t="s">
        <v>435</v>
      </c>
      <c r="J226" s="4" t="s">
        <v>301</v>
      </c>
      <c r="K226" s="5">
        <v>7500</v>
      </c>
      <c r="L226" s="5">
        <f t="shared" si="21"/>
        <v>1350</v>
      </c>
      <c r="M226" s="5">
        <f t="shared" si="20"/>
        <v>8850</v>
      </c>
      <c r="N226" s="5">
        <f>K226*1%</f>
        <v>75</v>
      </c>
      <c r="O226" s="5">
        <f>M226-N226</f>
        <v>8775</v>
      </c>
      <c r="P226" s="6" t="s">
        <v>19</v>
      </c>
      <c r="Q226" s="7" t="s">
        <v>52</v>
      </c>
    </row>
    <row r="227" spans="2:17" x14ac:dyDescent="0.25">
      <c r="B227" s="1">
        <f t="shared" si="15"/>
        <v>226</v>
      </c>
      <c r="C227" s="15">
        <v>45916</v>
      </c>
      <c r="D227" s="2" t="s">
        <v>73</v>
      </c>
      <c r="E227" s="3">
        <v>46007</v>
      </c>
      <c r="F227" s="18">
        <v>45992</v>
      </c>
      <c r="G227" s="19" t="s">
        <v>467</v>
      </c>
      <c r="H227" s="2" t="s">
        <v>243</v>
      </c>
      <c r="I227" s="2" t="s">
        <v>436</v>
      </c>
      <c r="J227" s="4" t="s">
        <v>245</v>
      </c>
      <c r="K227" s="5">
        <v>289200</v>
      </c>
      <c r="L227" s="5">
        <f t="shared" si="21"/>
        <v>52056</v>
      </c>
      <c r="M227" s="5">
        <f t="shared" si="20"/>
        <v>341256</v>
      </c>
      <c r="N227" s="5"/>
      <c r="O227" s="5">
        <v>100000</v>
      </c>
      <c r="P227" s="6" t="s">
        <v>36</v>
      </c>
      <c r="Q227" s="7" t="s">
        <v>31</v>
      </c>
    </row>
    <row r="228" spans="2:17" x14ac:dyDescent="0.25">
      <c r="B228" s="1">
        <f t="shared" si="15"/>
        <v>227</v>
      </c>
      <c r="C228" s="15">
        <v>46003</v>
      </c>
      <c r="D228" s="2">
        <v>1</v>
      </c>
      <c r="E228" s="3">
        <v>46007</v>
      </c>
      <c r="F228" s="18">
        <v>45992</v>
      </c>
      <c r="G228" s="19" t="s">
        <v>467</v>
      </c>
      <c r="H228" s="2" t="s">
        <v>437</v>
      </c>
      <c r="I228" s="2" t="s">
        <v>438</v>
      </c>
      <c r="J228" s="4" t="s">
        <v>193</v>
      </c>
      <c r="K228" s="5">
        <v>54000</v>
      </c>
      <c r="L228" s="5"/>
      <c r="M228" s="5"/>
      <c r="N228" s="5"/>
      <c r="O228" s="5">
        <v>54000</v>
      </c>
      <c r="P228" s="6" t="s">
        <v>24</v>
      </c>
      <c r="Q228" s="7" t="s">
        <v>67</v>
      </c>
    </row>
    <row r="229" spans="2:17" x14ac:dyDescent="0.25">
      <c r="B229" s="1">
        <f t="shared" si="15"/>
        <v>228</v>
      </c>
      <c r="C229" s="15">
        <v>45953</v>
      </c>
      <c r="D229" s="2" t="s">
        <v>439</v>
      </c>
      <c r="E229" s="3">
        <v>46007</v>
      </c>
      <c r="F229" s="18">
        <v>45992</v>
      </c>
      <c r="G229" s="19" t="s">
        <v>467</v>
      </c>
      <c r="H229" s="2" t="s">
        <v>61</v>
      </c>
      <c r="I229" s="2" t="s">
        <v>440</v>
      </c>
      <c r="J229" s="4" t="s">
        <v>63</v>
      </c>
      <c r="K229" s="5">
        <v>13725</v>
      </c>
      <c r="L229" s="5">
        <f>K229*18%</f>
        <v>2470.5</v>
      </c>
      <c r="M229" s="5">
        <f>K229+L229</f>
        <v>16195.5</v>
      </c>
      <c r="N229" s="5"/>
      <c r="O229" s="5">
        <f>M229</f>
        <v>16195.5</v>
      </c>
      <c r="P229" s="6" t="s">
        <v>24</v>
      </c>
      <c r="Q229" s="7" t="s">
        <v>52</v>
      </c>
    </row>
    <row r="230" spans="2:17" x14ac:dyDescent="0.25">
      <c r="B230" s="1">
        <f t="shared" si="15"/>
        <v>229</v>
      </c>
      <c r="C230" s="15">
        <v>46003</v>
      </c>
      <c r="D230" s="2">
        <v>1</v>
      </c>
      <c r="E230" s="3">
        <v>46008</v>
      </c>
      <c r="F230" s="18">
        <v>45992</v>
      </c>
      <c r="G230" s="19" t="s">
        <v>467</v>
      </c>
      <c r="H230" s="2" t="s">
        <v>248</v>
      </c>
      <c r="I230" s="2" t="s">
        <v>441</v>
      </c>
      <c r="J230" s="4" t="s">
        <v>250</v>
      </c>
      <c r="K230" s="5">
        <v>12620</v>
      </c>
      <c r="L230" s="5"/>
      <c r="M230" s="5">
        <v>12620</v>
      </c>
      <c r="N230" s="5"/>
      <c r="O230" s="5">
        <v>12620</v>
      </c>
      <c r="P230" s="6" t="s">
        <v>24</v>
      </c>
      <c r="Q230" s="7" t="s">
        <v>37</v>
      </c>
    </row>
    <row r="231" spans="2:17" x14ac:dyDescent="0.25">
      <c r="B231" s="1">
        <f t="shared" si="15"/>
        <v>230</v>
      </c>
      <c r="C231" s="15">
        <v>46001</v>
      </c>
      <c r="D231" s="2" t="s">
        <v>102</v>
      </c>
      <c r="E231" s="3">
        <v>46008</v>
      </c>
      <c r="F231" s="18">
        <v>45992</v>
      </c>
      <c r="G231" s="19" t="s">
        <v>467</v>
      </c>
      <c r="H231" s="2" t="s">
        <v>442</v>
      </c>
      <c r="I231" s="2" t="s">
        <v>443</v>
      </c>
      <c r="J231" s="4" t="s">
        <v>105</v>
      </c>
      <c r="K231" s="5">
        <v>45169.49</v>
      </c>
      <c r="L231" s="5">
        <f>K231*18%</f>
        <v>8130.5081999999993</v>
      </c>
      <c r="M231" s="5">
        <f>K231+L231</f>
        <v>53299.998199999995</v>
      </c>
      <c r="N231" s="5"/>
      <c r="O231" s="5">
        <f>K231*50%</f>
        <v>22584.744999999999</v>
      </c>
      <c r="P231" s="6" t="s">
        <v>36</v>
      </c>
      <c r="Q231" s="7" t="s">
        <v>25</v>
      </c>
    </row>
    <row r="232" spans="2:17" x14ac:dyDescent="0.25">
      <c r="B232" s="1">
        <f t="shared" si="15"/>
        <v>231</v>
      </c>
      <c r="C232" s="15">
        <v>46006</v>
      </c>
      <c r="D232" s="2" t="s">
        <v>102</v>
      </c>
      <c r="E232" s="3">
        <v>46008</v>
      </c>
      <c r="F232" s="18">
        <v>45992</v>
      </c>
      <c r="G232" s="19" t="s">
        <v>467</v>
      </c>
      <c r="H232" s="2" t="s">
        <v>442</v>
      </c>
      <c r="I232" s="2" t="s">
        <v>443</v>
      </c>
      <c r="J232" s="4" t="s">
        <v>105</v>
      </c>
      <c r="K232" s="5">
        <v>40949.15</v>
      </c>
      <c r="L232" s="5">
        <f>K232*18%</f>
        <v>7370.8469999999998</v>
      </c>
      <c r="M232" s="5">
        <f>K232+L232</f>
        <v>48319.997000000003</v>
      </c>
      <c r="N232" s="5"/>
      <c r="O232" s="5">
        <f>K232*50%</f>
        <v>20474.575000000001</v>
      </c>
      <c r="P232" s="6" t="s">
        <v>36</v>
      </c>
      <c r="Q232" s="7" t="s">
        <v>25</v>
      </c>
    </row>
    <row r="233" spans="2:17" x14ac:dyDescent="0.25">
      <c r="B233" s="1">
        <f t="shared" si="15"/>
        <v>232</v>
      </c>
      <c r="C233" s="15">
        <v>45962</v>
      </c>
      <c r="D233" s="2">
        <v>945</v>
      </c>
      <c r="E233" s="3">
        <v>46011</v>
      </c>
      <c r="F233" s="18">
        <v>45992</v>
      </c>
      <c r="G233" s="19" t="s">
        <v>467</v>
      </c>
      <c r="H233" s="2" t="s">
        <v>444</v>
      </c>
      <c r="I233" s="2" t="s">
        <v>445</v>
      </c>
      <c r="J233" s="4" t="s">
        <v>446</v>
      </c>
      <c r="K233" s="5">
        <v>3915</v>
      </c>
      <c r="L233" s="5"/>
      <c r="M233" s="5">
        <f t="shared" ref="M233" si="23">K233+L233</f>
        <v>3915</v>
      </c>
      <c r="N233" s="5"/>
      <c r="O233" s="5">
        <v>3915</v>
      </c>
      <c r="P233" s="6" t="s">
        <v>24</v>
      </c>
      <c r="Q233" s="7" t="s">
        <v>52</v>
      </c>
    </row>
    <row r="234" spans="2:17" x14ac:dyDescent="0.25">
      <c r="B234" s="1">
        <f t="shared" si="15"/>
        <v>233</v>
      </c>
      <c r="C234" s="15">
        <v>46000</v>
      </c>
      <c r="D234" s="2" t="s">
        <v>102</v>
      </c>
      <c r="E234" s="3">
        <v>46011</v>
      </c>
      <c r="F234" s="18">
        <v>45992</v>
      </c>
      <c r="G234" s="19" t="s">
        <v>467</v>
      </c>
      <c r="H234" s="2" t="s">
        <v>447</v>
      </c>
      <c r="I234" s="2" t="s">
        <v>448</v>
      </c>
      <c r="J234" s="4" t="s">
        <v>449</v>
      </c>
      <c r="K234" s="5">
        <v>19067.849999999999</v>
      </c>
      <c r="L234" s="5">
        <f t="shared" ref="L234" si="24">K234*18%</f>
        <v>3432.2129999999997</v>
      </c>
      <c r="M234" s="5">
        <f>K234+L234</f>
        <v>22500.062999999998</v>
      </c>
      <c r="N234" s="5"/>
      <c r="O234" s="5">
        <f>K234</f>
        <v>19067.849999999999</v>
      </c>
      <c r="P234" s="6" t="s">
        <v>24</v>
      </c>
      <c r="Q234" s="7" t="s">
        <v>31</v>
      </c>
    </row>
    <row r="235" spans="2:17" x14ac:dyDescent="0.25">
      <c r="B235" s="1">
        <f t="shared" si="15"/>
        <v>234</v>
      </c>
      <c r="C235" s="15">
        <v>46008</v>
      </c>
      <c r="D235" s="2">
        <v>1</v>
      </c>
      <c r="E235" s="3">
        <v>46011</v>
      </c>
      <c r="F235" s="18">
        <v>45992</v>
      </c>
      <c r="G235" s="19" t="s">
        <v>467</v>
      </c>
      <c r="H235" s="2" t="s">
        <v>21</v>
      </c>
      <c r="I235" s="2" t="s">
        <v>450</v>
      </c>
      <c r="J235" s="4" t="s">
        <v>90</v>
      </c>
      <c r="K235" s="5">
        <v>1050</v>
      </c>
      <c r="L235" s="5"/>
      <c r="M235" s="5">
        <v>1050</v>
      </c>
      <c r="N235" s="5"/>
      <c r="O235" s="5">
        <v>1050</v>
      </c>
      <c r="P235" s="6" t="s">
        <v>24</v>
      </c>
      <c r="Q235" s="7" t="s">
        <v>106</v>
      </c>
    </row>
    <row r="236" spans="2:17" x14ac:dyDescent="0.25">
      <c r="B236" s="1">
        <f t="shared" si="15"/>
        <v>235</v>
      </c>
      <c r="C236" s="15">
        <v>46000</v>
      </c>
      <c r="D236" s="2" t="s">
        <v>451</v>
      </c>
      <c r="E236" s="3">
        <v>46014</v>
      </c>
      <c r="F236" s="18">
        <v>45992</v>
      </c>
      <c r="G236" s="19" t="s">
        <v>467</v>
      </c>
      <c r="H236" s="2" t="s">
        <v>243</v>
      </c>
      <c r="I236" s="2" t="s">
        <v>452</v>
      </c>
      <c r="J236" s="4" t="s">
        <v>245</v>
      </c>
      <c r="K236" s="5">
        <v>289200</v>
      </c>
      <c r="L236" s="5">
        <f t="shared" ref="L236" si="25">K236*18%</f>
        <v>52056</v>
      </c>
      <c r="M236" s="5">
        <f t="shared" ref="M236" si="26">K236+L236</f>
        <v>341256</v>
      </c>
      <c r="N236" s="5"/>
      <c r="O236" s="5">
        <v>135472</v>
      </c>
      <c r="P236" s="6" t="s">
        <v>36</v>
      </c>
      <c r="Q236" s="7" t="s">
        <v>31</v>
      </c>
    </row>
    <row r="237" spans="2:17" x14ac:dyDescent="0.25">
      <c r="B237" s="1">
        <f t="shared" si="15"/>
        <v>236</v>
      </c>
      <c r="C237" s="15">
        <v>45991</v>
      </c>
      <c r="D237" s="2">
        <v>1003</v>
      </c>
      <c r="E237" s="3">
        <v>46015</v>
      </c>
      <c r="F237" s="18">
        <v>45992</v>
      </c>
      <c r="G237" s="19" t="s">
        <v>467</v>
      </c>
      <c r="H237" s="2" t="s">
        <v>444</v>
      </c>
      <c r="I237" s="2" t="s">
        <v>453</v>
      </c>
      <c r="J237" s="4" t="s">
        <v>446</v>
      </c>
      <c r="K237" s="5">
        <v>4350</v>
      </c>
      <c r="L237" s="5"/>
      <c r="M237" s="5">
        <v>4350</v>
      </c>
      <c r="N237" s="5"/>
      <c r="O237" s="5">
        <v>4350</v>
      </c>
      <c r="P237" s="6" t="s">
        <v>24</v>
      </c>
      <c r="Q237" s="7" t="s">
        <v>52</v>
      </c>
    </row>
    <row r="238" spans="2:17" x14ac:dyDescent="0.25">
      <c r="B238" s="1">
        <f t="shared" si="15"/>
        <v>237</v>
      </c>
      <c r="C238" s="15">
        <v>46010</v>
      </c>
      <c r="D238" s="2" t="s">
        <v>454</v>
      </c>
      <c r="E238" s="3">
        <v>46015</v>
      </c>
      <c r="F238" s="18">
        <v>45992</v>
      </c>
      <c r="G238" s="19" t="s">
        <v>467</v>
      </c>
      <c r="H238" s="2" t="s">
        <v>61</v>
      </c>
      <c r="I238" s="2" t="s">
        <v>455</v>
      </c>
      <c r="J238" s="4" t="s">
        <v>63</v>
      </c>
      <c r="K238" s="5">
        <v>7900</v>
      </c>
      <c r="L238" s="5">
        <f>K238*18%</f>
        <v>1422</v>
      </c>
      <c r="M238" s="5">
        <f>K238+L238</f>
        <v>9322</v>
      </c>
      <c r="N238" s="5"/>
      <c r="O238" s="5">
        <v>9322</v>
      </c>
      <c r="P238" s="6" t="s">
        <v>24</v>
      </c>
      <c r="Q238" s="7" t="s">
        <v>52</v>
      </c>
    </row>
    <row r="239" spans="2:17" x14ac:dyDescent="0.25">
      <c r="B239" s="1">
        <f t="shared" si="15"/>
        <v>238</v>
      </c>
      <c r="C239" s="15">
        <v>46006</v>
      </c>
      <c r="D239" s="2">
        <v>4016</v>
      </c>
      <c r="E239" s="3">
        <v>46015</v>
      </c>
      <c r="F239" s="18">
        <v>45992</v>
      </c>
      <c r="G239" s="19" t="s">
        <v>467</v>
      </c>
      <c r="H239" s="2" t="s">
        <v>111</v>
      </c>
      <c r="I239" s="2" t="s">
        <v>112</v>
      </c>
      <c r="J239" s="4" t="s">
        <v>113</v>
      </c>
      <c r="K239" s="5">
        <v>55288</v>
      </c>
      <c r="L239" s="5"/>
      <c r="M239" s="5">
        <v>55288</v>
      </c>
      <c r="N239" s="5"/>
      <c r="O239" s="5">
        <v>55288</v>
      </c>
      <c r="P239" s="6" t="s">
        <v>19</v>
      </c>
      <c r="Q239" s="7" t="s">
        <v>25</v>
      </c>
    </row>
    <row r="240" spans="2:17" x14ac:dyDescent="0.25">
      <c r="B240" s="1">
        <f t="shared" si="15"/>
        <v>239</v>
      </c>
      <c r="C240" s="15">
        <v>46012</v>
      </c>
      <c r="D240" s="2">
        <v>1</v>
      </c>
      <c r="E240" s="3">
        <v>46015</v>
      </c>
      <c r="F240" s="18">
        <v>45992</v>
      </c>
      <c r="G240" s="19" t="s">
        <v>467</v>
      </c>
      <c r="H240" s="2" t="s">
        <v>456</v>
      </c>
      <c r="I240" s="2" t="s">
        <v>457</v>
      </c>
      <c r="J240" s="4" t="s">
        <v>458</v>
      </c>
      <c r="K240" s="5">
        <v>3800</v>
      </c>
      <c r="L240" s="5"/>
      <c r="M240" s="5">
        <v>3800</v>
      </c>
      <c r="N240" s="5"/>
      <c r="O240" s="5">
        <v>3800</v>
      </c>
      <c r="P240" s="6" t="s">
        <v>24</v>
      </c>
      <c r="Q240" s="7" t="s">
        <v>37</v>
      </c>
    </row>
    <row r="241" spans="2:17" x14ac:dyDescent="0.25">
      <c r="B241" s="1">
        <f t="shared" si="15"/>
        <v>240</v>
      </c>
      <c r="C241" s="15">
        <v>46020</v>
      </c>
      <c r="D241" s="2"/>
      <c r="E241" s="3">
        <v>46020</v>
      </c>
      <c r="F241" s="18">
        <v>45992</v>
      </c>
      <c r="G241" s="19" t="s">
        <v>467</v>
      </c>
      <c r="H241" s="2" t="s">
        <v>459</v>
      </c>
      <c r="I241" s="2" t="s">
        <v>460</v>
      </c>
      <c r="J241" s="4" t="s">
        <v>461</v>
      </c>
      <c r="K241" s="5">
        <v>286169</v>
      </c>
      <c r="L241" s="5"/>
      <c r="M241" s="5">
        <v>286169</v>
      </c>
      <c r="N241" s="5"/>
      <c r="O241" s="5">
        <v>286169</v>
      </c>
      <c r="P241" s="6"/>
      <c r="Q241" s="7"/>
    </row>
    <row r="242" spans="2:17" x14ac:dyDescent="0.25">
      <c r="B242" s="1">
        <f t="shared" si="15"/>
        <v>241</v>
      </c>
      <c r="C242" s="15">
        <v>46002</v>
      </c>
      <c r="D242" s="2">
        <v>1309</v>
      </c>
      <c r="E242" s="3">
        <v>46020</v>
      </c>
      <c r="F242" s="18">
        <v>45992</v>
      </c>
      <c r="G242" s="19" t="s">
        <v>467</v>
      </c>
      <c r="H242" s="2" t="s">
        <v>26</v>
      </c>
      <c r="I242" s="2" t="s">
        <v>462</v>
      </c>
      <c r="J242" s="4" t="s">
        <v>23</v>
      </c>
      <c r="K242" s="5">
        <v>21510</v>
      </c>
      <c r="L242" s="5">
        <f>K242*18%</f>
        <v>3871.7999999999997</v>
      </c>
      <c r="M242" s="5">
        <f>K242+L242</f>
        <v>25381.8</v>
      </c>
      <c r="N242" s="5"/>
      <c r="O242" s="5">
        <v>25382</v>
      </c>
      <c r="P242" s="6" t="s">
        <v>24</v>
      </c>
      <c r="Q242" s="7" t="s">
        <v>25</v>
      </c>
    </row>
    <row r="243" spans="2:17" x14ac:dyDescent="0.25">
      <c r="B243" s="1">
        <f t="shared" si="15"/>
        <v>242</v>
      </c>
      <c r="C243" s="15">
        <v>46012</v>
      </c>
      <c r="D243" s="2">
        <v>47</v>
      </c>
      <c r="E243" s="3">
        <v>46020</v>
      </c>
      <c r="F243" s="18">
        <v>45992</v>
      </c>
      <c r="G243" s="19" t="s">
        <v>467</v>
      </c>
      <c r="H243" s="2" t="s">
        <v>456</v>
      </c>
      <c r="I243" s="2" t="s">
        <v>463</v>
      </c>
      <c r="J243" s="4" t="s">
        <v>464</v>
      </c>
      <c r="K243" s="5">
        <v>4900</v>
      </c>
      <c r="L243" s="5"/>
      <c r="M243" s="5">
        <v>4900</v>
      </c>
      <c r="N243" s="5"/>
      <c r="O243" s="5">
        <v>4900</v>
      </c>
      <c r="P243" s="6" t="s">
        <v>24</v>
      </c>
      <c r="Q243" s="7" t="s">
        <v>106</v>
      </c>
    </row>
    <row r="244" spans="2:17" x14ac:dyDescent="0.25">
      <c r="B244" s="1">
        <f t="shared" si="15"/>
        <v>243</v>
      </c>
      <c r="C244" s="15">
        <v>46011</v>
      </c>
      <c r="D244" s="2">
        <v>2910</v>
      </c>
      <c r="E244" s="3">
        <v>46020</v>
      </c>
      <c r="F244" s="18">
        <v>45992</v>
      </c>
      <c r="G244" s="19" t="s">
        <v>467</v>
      </c>
      <c r="H244" s="2" t="s">
        <v>447</v>
      </c>
      <c r="I244" s="2" t="s">
        <v>465</v>
      </c>
      <c r="J244" s="4" t="s">
        <v>449</v>
      </c>
      <c r="K244" s="5">
        <v>19067.849999999999</v>
      </c>
      <c r="L244" s="5">
        <f t="shared" ref="L244" si="27">K244*18%</f>
        <v>3432.2129999999997</v>
      </c>
      <c r="M244" s="5">
        <f>K244+L244</f>
        <v>22500.062999999998</v>
      </c>
      <c r="N244" s="5"/>
      <c r="O244" s="5">
        <v>3432</v>
      </c>
      <c r="P244" s="6" t="s">
        <v>24</v>
      </c>
      <c r="Q244" s="7" t="s">
        <v>31</v>
      </c>
    </row>
    <row r="245" spans="2:17" x14ac:dyDescent="0.25">
      <c r="B245" s="1">
        <f t="shared" si="15"/>
        <v>244</v>
      </c>
      <c r="C245" s="15">
        <v>46016</v>
      </c>
      <c r="D245" s="2">
        <v>34</v>
      </c>
      <c r="E245" s="3">
        <v>46021</v>
      </c>
      <c r="F245" s="18">
        <v>45992</v>
      </c>
      <c r="G245" s="19" t="s">
        <v>467</v>
      </c>
      <c r="H245" s="2" t="s">
        <v>456</v>
      </c>
      <c r="I245" s="2" t="s">
        <v>463</v>
      </c>
      <c r="J245" s="4" t="s">
        <v>464</v>
      </c>
      <c r="K245" s="5">
        <v>14700</v>
      </c>
      <c r="L245" s="5"/>
      <c r="M245" s="5">
        <v>14700</v>
      </c>
      <c r="N245" s="5"/>
      <c r="O245" s="5">
        <v>14700</v>
      </c>
      <c r="P245" s="6" t="s">
        <v>24</v>
      </c>
      <c r="Q245" s="7" t="s">
        <v>106</v>
      </c>
    </row>
    <row r="246" spans="2:17" x14ac:dyDescent="0.25">
      <c r="B246" s="1">
        <f t="shared" si="15"/>
        <v>245</v>
      </c>
      <c r="C246" s="15">
        <v>46019</v>
      </c>
      <c r="D246" s="2">
        <v>72</v>
      </c>
      <c r="E246" s="3">
        <v>46021</v>
      </c>
      <c r="F246" s="18">
        <v>45992</v>
      </c>
      <c r="G246" s="19" t="s">
        <v>467</v>
      </c>
      <c r="H246" s="2" t="s">
        <v>456</v>
      </c>
      <c r="I246" s="2" t="s">
        <v>463</v>
      </c>
      <c r="J246" s="4" t="s">
        <v>464</v>
      </c>
      <c r="K246" s="5">
        <v>4900</v>
      </c>
      <c r="L246" s="5"/>
      <c r="M246" s="5">
        <v>4900</v>
      </c>
      <c r="N246" s="5"/>
      <c r="O246" s="5">
        <v>4900</v>
      </c>
      <c r="P246" s="6" t="s">
        <v>24</v>
      </c>
      <c r="Q246" s="7" t="s">
        <v>106</v>
      </c>
    </row>
    <row r="247" spans="2:17" x14ac:dyDescent="0.25">
      <c r="B247" s="1">
        <f t="shared" si="15"/>
        <v>246</v>
      </c>
      <c r="C247" s="15">
        <v>46021</v>
      </c>
      <c r="D247" s="2"/>
      <c r="E247" s="3">
        <v>46021</v>
      </c>
      <c r="F247" s="18">
        <v>45992</v>
      </c>
      <c r="G247" s="19" t="s">
        <v>467</v>
      </c>
      <c r="H247" s="2" t="s">
        <v>130</v>
      </c>
      <c r="I247" s="2" t="s">
        <v>383</v>
      </c>
      <c r="J247" s="4" t="s">
        <v>383</v>
      </c>
      <c r="K247" s="5">
        <v>11.8</v>
      </c>
      <c r="L247" s="5"/>
      <c r="M247" s="5">
        <v>11.8</v>
      </c>
      <c r="N247" s="5"/>
      <c r="O247" s="5">
        <v>11.8</v>
      </c>
      <c r="P247" s="6"/>
      <c r="Q247" s="7"/>
    </row>
    <row r="248" spans="2:17" x14ac:dyDescent="0.25">
      <c r="B248" s="1">
        <f>B247+1</f>
        <v>247</v>
      </c>
      <c r="C248" s="15"/>
      <c r="D248" s="2"/>
      <c r="E248" s="3">
        <v>46002</v>
      </c>
      <c r="F248" s="18">
        <v>45962</v>
      </c>
      <c r="G248" s="19" t="s">
        <v>467</v>
      </c>
      <c r="H248" s="2" t="s">
        <v>127</v>
      </c>
      <c r="I248" s="2" t="s">
        <v>466</v>
      </c>
      <c r="J248" s="4" t="s">
        <v>129</v>
      </c>
      <c r="K248" s="5">
        <v>777446</v>
      </c>
      <c r="L248" s="5"/>
      <c r="M248" s="5">
        <v>777446</v>
      </c>
      <c r="N248" s="5"/>
      <c r="O248" s="5">
        <v>777446</v>
      </c>
      <c r="P248" s="6" t="s">
        <v>19</v>
      </c>
      <c r="Q248" s="7" t="s">
        <v>25</v>
      </c>
    </row>
  </sheetData>
  <autoFilter ref="B1:Q248" xr:uid="{25C63B82-856A-43DA-AEE9-C05B520A21B4}"/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899C1-8A6C-46A5-81A7-F17BB22BDF77}">
  <dimension ref="A1:C45"/>
  <sheetViews>
    <sheetView workbookViewId="0">
      <selection activeCell="J36" sqref="J36"/>
    </sheetView>
  </sheetViews>
  <sheetFormatPr defaultRowHeight="15" x14ac:dyDescent="0.25"/>
  <cols>
    <col min="1" max="1" width="19.5703125" bestFit="1" customWidth="1"/>
    <col min="2" max="2" width="41.5703125" style="28" customWidth="1"/>
  </cols>
  <sheetData>
    <row r="1" spans="1:3" s="20" customFormat="1" x14ac:dyDescent="0.25">
      <c r="A1" s="20" t="s">
        <v>8</v>
      </c>
      <c r="B1" s="26" t="s">
        <v>470</v>
      </c>
      <c r="C1" s="20" t="s">
        <v>5</v>
      </c>
    </row>
    <row r="2" spans="1:3" x14ac:dyDescent="0.25">
      <c r="A2" t="s">
        <v>37</v>
      </c>
      <c r="B2" s="27">
        <v>60000</v>
      </c>
      <c r="C2" t="s">
        <v>467</v>
      </c>
    </row>
    <row r="3" spans="1:3" x14ac:dyDescent="0.25">
      <c r="A3" t="s">
        <v>106</v>
      </c>
      <c r="B3" s="27">
        <v>60000</v>
      </c>
      <c r="C3" t="s">
        <v>467</v>
      </c>
    </row>
    <row r="4" spans="1:3" x14ac:dyDescent="0.25">
      <c r="A4" t="s">
        <v>25</v>
      </c>
      <c r="B4" s="27">
        <v>60000</v>
      </c>
      <c r="C4" t="s">
        <v>467</v>
      </c>
    </row>
    <row r="5" spans="1:3" x14ac:dyDescent="0.25">
      <c r="A5" t="s">
        <v>72</v>
      </c>
      <c r="B5" s="27">
        <v>60000</v>
      </c>
      <c r="C5" t="s">
        <v>467</v>
      </c>
    </row>
    <row r="6" spans="1:3" x14ac:dyDescent="0.25">
      <c r="A6" t="s">
        <v>31</v>
      </c>
      <c r="B6" s="27">
        <v>60000</v>
      </c>
      <c r="C6" t="s">
        <v>467</v>
      </c>
    </row>
    <row r="7" spans="1:3" x14ac:dyDescent="0.25">
      <c r="A7" t="s">
        <v>52</v>
      </c>
      <c r="B7" s="27">
        <v>60000</v>
      </c>
      <c r="C7" t="s">
        <v>467</v>
      </c>
    </row>
    <row r="8" spans="1:3" x14ac:dyDescent="0.25">
      <c r="A8" t="s">
        <v>473</v>
      </c>
      <c r="B8" s="27">
        <v>60000</v>
      </c>
      <c r="C8" t="s">
        <v>467</v>
      </c>
    </row>
    <row r="9" spans="1:3" x14ac:dyDescent="0.25">
      <c r="A9" t="s">
        <v>20</v>
      </c>
      <c r="B9" s="27">
        <v>60000</v>
      </c>
      <c r="C9" t="s">
        <v>467</v>
      </c>
    </row>
    <row r="10" spans="1:3" x14ac:dyDescent="0.25">
      <c r="A10" t="s">
        <v>474</v>
      </c>
      <c r="B10" s="27">
        <v>60000</v>
      </c>
      <c r="C10" t="s">
        <v>467</v>
      </c>
    </row>
    <row r="11" spans="1:3" x14ac:dyDescent="0.25">
      <c r="A11" t="s">
        <v>11</v>
      </c>
      <c r="B11" s="28">
        <v>540000</v>
      </c>
      <c r="C11" t="s">
        <v>467</v>
      </c>
    </row>
    <row r="13" spans="1:3" x14ac:dyDescent="0.25">
      <c r="A13" s="20"/>
      <c r="B13" s="26"/>
      <c r="C13" s="20"/>
    </row>
    <row r="14" spans="1:3" x14ac:dyDescent="0.25">
      <c r="A14" t="s">
        <v>37</v>
      </c>
      <c r="B14" s="27">
        <v>70000</v>
      </c>
      <c r="C14" t="s">
        <v>472</v>
      </c>
    </row>
    <row r="15" spans="1:3" x14ac:dyDescent="0.25">
      <c r="A15" t="s">
        <v>106</v>
      </c>
      <c r="B15" s="27">
        <v>70000</v>
      </c>
      <c r="C15" t="s">
        <v>472</v>
      </c>
    </row>
    <row r="16" spans="1:3" x14ac:dyDescent="0.25">
      <c r="A16" t="s">
        <v>25</v>
      </c>
      <c r="B16" s="27">
        <v>70000</v>
      </c>
      <c r="C16" t="s">
        <v>472</v>
      </c>
    </row>
    <row r="17" spans="1:3" x14ac:dyDescent="0.25">
      <c r="A17" t="s">
        <v>72</v>
      </c>
      <c r="B17" s="27">
        <v>70000</v>
      </c>
      <c r="C17" t="s">
        <v>472</v>
      </c>
    </row>
    <row r="18" spans="1:3" x14ac:dyDescent="0.25">
      <c r="A18" t="s">
        <v>31</v>
      </c>
      <c r="B18" s="27">
        <v>70000</v>
      </c>
      <c r="C18" t="s">
        <v>472</v>
      </c>
    </row>
    <row r="19" spans="1:3" x14ac:dyDescent="0.25">
      <c r="A19" t="s">
        <v>52</v>
      </c>
      <c r="B19" s="27">
        <v>70000</v>
      </c>
      <c r="C19" t="s">
        <v>472</v>
      </c>
    </row>
    <row r="20" spans="1:3" x14ac:dyDescent="0.25">
      <c r="A20" t="s">
        <v>473</v>
      </c>
      <c r="B20" s="27">
        <v>70000</v>
      </c>
      <c r="C20" t="s">
        <v>472</v>
      </c>
    </row>
    <row r="21" spans="1:3" x14ac:dyDescent="0.25">
      <c r="A21" t="s">
        <v>20</v>
      </c>
      <c r="B21" s="27">
        <v>70000</v>
      </c>
      <c r="C21" t="s">
        <v>472</v>
      </c>
    </row>
    <row r="22" spans="1:3" x14ac:dyDescent="0.25">
      <c r="A22" t="s">
        <v>474</v>
      </c>
      <c r="B22" s="27">
        <v>70000</v>
      </c>
      <c r="C22" t="s">
        <v>472</v>
      </c>
    </row>
    <row r="23" spans="1:3" x14ac:dyDescent="0.25">
      <c r="A23" t="s">
        <v>11</v>
      </c>
      <c r="B23" s="28">
        <v>630000</v>
      </c>
      <c r="C23" t="s">
        <v>472</v>
      </c>
    </row>
    <row r="24" spans="1:3" x14ac:dyDescent="0.25">
      <c r="A24" s="20"/>
      <c r="B24" s="26"/>
      <c r="C24" s="20"/>
    </row>
    <row r="25" spans="1:3" x14ac:dyDescent="0.25">
      <c r="A25" t="s">
        <v>37</v>
      </c>
      <c r="B25" s="27">
        <v>80000</v>
      </c>
      <c r="C25" t="s">
        <v>468</v>
      </c>
    </row>
    <row r="26" spans="1:3" x14ac:dyDescent="0.25">
      <c r="A26" t="s">
        <v>106</v>
      </c>
      <c r="B26" s="27">
        <v>80000</v>
      </c>
      <c r="C26" t="s">
        <v>468</v>
      </c>
    </row>
    <row r="27" spans="1:3" x14ac:dyDescent="0.25">
      <c r="A27" t="s">
        <v>25</v>
      </c>
      <c r="B27" s="27">
        <v>80000</v>
      </c>
      <c r="C27" t="s">
        <v>468</v>
      </c>
    </row>
    <row r="28" spans="1:3" x14ac:dyDescent="0.25">
      <c r="A28" t="s">
        <v>72</v>
      </c>
      <c r="B28" s="27">
        <v>80000</v>
      </c>
      <c r="C28" t="s">
        <v>468</v>
      </c>
    </row>
    <row r="29" spans="1:3" x14ac:dyDescent="0.25">
      <c r="A29" t="s">
        <v>31</v>
      </c>
      <c r="B29" s="27">
        <v>80000</v>
      </c>
      <c r="C29" t="s">
        <v>468</v>
      </c>
    </row>
    <row r="30" spans="1:3" x14ac:dyDescent="0.25">
      <c r="A30" t="s">
        <v>52</v>
      </c>
      <c r="B30" s="27">
        <v>80000</v>
      </c>
      <c r="C30" t="s">
        <v>468</v>
      </c>
    </row>
    <row r="31" spans="1:3" x14ac:dyDescent="0.25">
      <c r="A31" t="s">
        <v>473</v>
      </c>
      <c r="B31" s="27">
        <v>80000</v>
      </c>
      <c r="C31" t="s">
        <v>468</v>
      </c>
    </row>
    <row r="32" spans="1:3" x14ac:dyDescent="0.25">
      <c r="A32" t="s">
        <v>20</v>
      </c>
      <c r="B32" s="27">
        <v>80000</v>
      </c>
      <c r="C32" t="s">
        <v>468</v>
      </c>
    </row>
    <row r="33" spans="1:3" x14ac:dyDescent="0.25">
      <c r="A33" t="s">
        <v>474</v>
      </c>
      <c r="B33" s="27">
        <v>80000</v>
      </c>
      <c r="C33" t="s">
        <v>468</v>
      </c>
    </row>
    <row r="34" spans="1:3" x14ac:dyDescent="0.25">
      <c r="A34" t="s">
        <v>11</v>
      </c>
      <c r="B34" s="28">
        <v>720000</v>
      </c>
      <c r="C34" t="s">
        <v>468</v>
      </c>
    </row>
    <row r="35" spans="1:3" x14ac:dyDescent="0.25">
      <c r="A35" s="20"/>
      <c r="B35" s="26"/>
      <c r="C35" s="20"/>
    </row>
    <row r="36" spans="1:3" x14ac:dyDescent="0.25">
      <c r="A36" t="s">
        <v>37</v>
      </c>
      <c r="B36" s="27">
        <v>90000</v>
      </c>
      <c r="C36" t="s">
        <v>471</v>
      </c>
    </row>
    <row r="37" spans="1:3" x14ac:dyDescent="0.25">
      <c r="A37" t="s">
        <v>106</v>
      </c>
      <c r="B37" s="27">
        <v>90000</v>
      </c>
      <c r="C37" t="s">
        <v>471</v>
      </c>
    </row>
    <row r="38" spans="1:3" x14ac:dyDescent="0.25">
      <c r="A38" t="s">
        <v>25</v>
      </c>
      <c r="B38" s="27">
        <v>90000</v>
      </c>
      <c r="C38" t="s">
        <v>471</v>
      </c>
    </row>
    <row r="39" spans="1:3" x14ac:dyDescent="0.25">
      <c r="A39" t="s">
        <v>72</v>
      </c>
      <c r="B39" s="27">
        <v>90000</v>
      </c>
      <c r="C39" t="s">
        <v>471</v>
      </c>
    </row>
    <row r="40" spans="1:3" x14ac:dyDescent="0.25">
      <c r="A40" t="s">
        <v>31</v>
      </c>
      <c r="B40" s="27">
        <v>90000</v>
      </c>
      <c r="C40" t="s">
        <v>471</v>
      </c>
    </row>
    <row r="41" spans="1:3" x14ac:dyDescent="0.25">
      <c r="A41" t="s">
        <v>52</v>
      </c>
      <c r="B41" s="27">
        <v>90000</v>
      </c>
      <c r="C41" t="s">
        <v>471</v>
      </c>
    </row>
    <row r="42" spans="1:3" x14ac:dyDescent="0.25">
      <c r="A42" t="s">
        <v>473</v>
      </c>
      <c r="B42" s="27">
        <v>90000</v>
      </c>
      <c r="C42" t="s">
        <v>471</v>
      </c>
    </row>
    <row r="43" spans="1:3" x14ac:dyDescent="0.25">
      <c r="A43" t="s">
        <v>20</v>
      </c>
      <c r="B43" s="27">
        <v>90000</v>
      </c>
      <c r="C43" t="s">
        <v>471</v>
      </c>
    </row>
    <row r="44" spans="1:3" x14ac:dyDescent="0.25">
      <c r="A44" t="s">
        <v>474</v>
      </c>
      <c r="B44" s="27">
        <v>90000</v>
      </c>
      <c r="C44" t="s">
        <v>471</v>
      </c>
    </row>
    <row r="45" spans="1:3" x14ac:dyDescent="0.25">
      <c r="A45" t="s">
        <v>11</v>
      </c>
      <c r="B45" s="28">
        <v>810000</v>
      </c>
      <c r="C45" t="s">
        <v>471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98819-FB36-4B08-8455-6F8E1E2E1C45}">
  <dimension ref="A1:C96"/>
  <sheetViews>
    <sheetView tabSelected="1" workbookViewId="0">
      <selection activeCell="A10" sqref="A10:XFD10"/>
    </sheetView>
  </sheetViews>
  <sheetFormatPr defaultRowHeight="15" x14ac:dyDescent="0.25"/>
  <cols>
    <col min="1" max="1" width="35.5703125" customWidth="1"/>
    <col min="2" max="2" width="30.5703125" bestFit="1" customWidth="1"/>
    <col min="3" max="3" width="11.140625" bestFit="1" customWidth="1"/>
  </cols>
  <sheetData>
    <row r="1" spans="1:3" x14ac:dyDescent="0.25">
      <c r="A1" s="21" t="s">
        <v>8</v>
      </c>
      <c r="B1" s="21" t="s">
        <v>470</v>
      </c>
      <c r="C1" s="20" t="s">
        <v>5</v>
      </c>
    </row>
    <row r="2" spans="1:3" x14ac:dyDescent="0.25">
      <c r="A2" s="22" t="s">
        <v>475</v>
      </c>
      <c r="B2" s="23">
        <v>25000</v>
      </c>
      <c r="C2" s="24" t="s">
        <v>467</v>
      </c>
    </row>
    <row r="3" spans="1:3" x14ac:dyDescent="0.25">
      <c r="A3" s="22" t="s">
        <v>476</v>
      </c>
      <c r="B3" s="23">
        <v>25000</v>
      </c>
      <c r="C3" s="24" t="s">
        <v>467</v>
      </c>
    </row>
    <row r="4" spans="1:3" x14ac:dyDescent="0.25">
      <c r="A4" s="22" t="s">
        <v>477</v>
      </c>
      <c r="B4" s="23">
        <v>25000</v>
      </c>
      <c r="C4" s="24" t="s">
        <v>467</v>
      </c>
    </row>
    <row r="5" spans="1:3" x14ac:dyDescent="0.25">
      <c r="A5" s="22" t="s">
        <v>35</v>
      </c>
      <c r="B5" s="25">
        <v>0</v>
      </c>
      <c r="C5" s="24" t="s">
        <v>467</v>
      </c>
    </row>
    <row r="6" spans="1:3" x14ac:dyDescent="0.25">
      <c r="A6" s="22" t="s">
        <v>40</v>
      </c>
      <c r="B6" s="25">
        <v>0</v>
      </c>
      <c r="C6" s="24" t="s">
        <v>467</v>
      </c>
    </row>
    <row r="7" spans="1:3" x14ac:dyDescent="0.25">
      <c r="A7" s="22" t="s">
        <v>47</v>
      </c>
      <c r="B7" s="25">
        <v>0</v>
      </c>
      <c r="C7" s="24" t="s">
        <v>467</v>
      </c>
    </row>
    <row r="8" spans="1:3" x14ac:dyDescent="0.25">
      <c r="A8" s="22" t="s">
        <v>59</v>
      </c>
      <c r="B8" s="25">
        <v>0</v>
      </c>
      <c r="C8" s="24" t="s">
        <v>467</v>
      </c>
    </row>
    <row r="9" spans="1:3" x14ac:dyDescent="0.25">
      <c r="A9" s="22" t="s">
        <v>88</v>
      </c>
      <c r="B9" s="25">
        <v>0</v>
      </c>
      <c r="C9" s="24" t="s">
        <v>467</v>
      </c>
    </row>
    <row r="10" spans="1:3" x14ac:dyDescent="0.25">
      <c r="A10" s="22" t="s">
        <v>475</v>
      </c>
      <c r="B10" s="25">
        <v>0</v>
      </c>
      <c r="C10" s="24" t="s">
        <v>467</v>
      </c>
    </row>
    <row r="11" spans="1:3" x14ac:dyDescent="0.25">
      <c r="A11" s="22" t="s">
        <v>149</v>
      </c>
      <c r="B11" s="25">
        <v>0</v>
      </c>
      <c r="C11" s="24" t="s">
        <v>467</v>
      </c>
    </row>
    <row r="12" spans="1:3" x14ac:dyDescent="0.25">
      <c r="A12" s="22" t="s">
        <v>209</v>
      </c>
      <c r="B12" s="25">
        <v>0</v>
      </c>
      <c r="C12" s="24" t="s">
        <v>467</v>
      </c>
    </row>
    <row r="13" spans="1:3" x14ac:dyDescent="0.25">
      <c r="A13" s="22" t="s">
        <v>211</v>
      </c>
      <c r="B13" s="25">
        <v>0</v>
      </c>
      <c r="C13" s="24" t="s">
        <v>467</v>
      </c>
    </row>
    <row r="14" spans="1:3" x14ac:dyDescent="0.25">
      <c r="A14" s="22" t="s">
        <v>224</v>
      </c>
      <c r="B14" s="25">
        <v>0</v>
      </c>
      <c r="C14" s="24" t="s">
        <v>467</v>
      </c>
    </row>
    <row r="15" spans="1:3" x14ac:dyDescent="0.25">
      <c r="A15" s="22" t="s">
        <v>227</v>
      </c>
      <c r="B15" s="25">
        <v>0</v>
      </c>
      <c r="C15" s="24" t="s">
        <v>467</v>
      </c>
    </row>
    <row r="16" spans="1:3" x14ac:dyDescent="0.25">
      <c r="A16" s="22" t="s">
        <v>242</v>
      </c>
      <c r="B16" s="25">
        <v>0</v>
      </c>
      <c r="C16" s="24" t="s">
        <v>467</v>
      </c>
    </row>
    <row r="17" spans="1:3" x14ac:dyDescent="0.25">
      <c r="A17" s="22" t="s">
        <v>245</v>
      </c>
      <c r="B17" s="25">
        <v>0</v>
      </c>
      <c r="C17" s="24" t="s">
        <v>467</v>
      </c>
    </row>
    <row r="18" spans="1:3" x14ac:dyDescent="0.25">
      <c r="A18" s="22" t="s">
        <v>283</v>
      </c>
      <c r="B18" s="25">
        <v>0</v>
      </c>
      <c r="C18" s="24" t="s">
        <v>467</v>
      </c>
    </row>
    <row r="19" spans="1:3" x14ac:dyDescent="0.25">
      <c r="A19" s="22" t="s">
        <v>306</v>
      </c>
      <c r="B19" s="25">
        <v>0</v>
      </c>
      <c r="C19" s="24" t="s">
        <v>467</v>
      </c>
    </row>
    <row r="20" spans="1:3" x14ac:dyDescent="0.25">
      <c r="A20" s="22" t="s">
        <v>476</v>
      </c>
      <c r="B20" s="25">
        <v>0</v>
      </c>
      <c r="C20" s="24" t="s">
        <v>467</v>
      </c>
    </row>
    <row r="21" spans="1:3" x14ac:dyDescent="0.25">
      <c r="A21" s="22" t="s">
        <v>351</v>
      </c>
      <c r="B21" s="25">
        <v>0</v>
      </c>
      <c r="C21" s="24" t="s">
        <v>467</v>
      </c>
    </row>
    <row r="22" spans="1:3" x14ac:dyDescent="0.25">
      <c r="A22" s="22" t="s">
        <v>372</v>
      </c>
      <c r="B22" s="25">
        <v>0</v>
      </c>
      <c r="C22" s="24" t="s">
        <v>467</v>
      </c>
    </row>
    <row r="23" spans="1:3" x14ac:dyDescent="0.25">
      <c r="A23" s="22" t="s">
        <v>478</v>
      </c>
      <c r="B23" s="25">
        <v>0</v>
      </c>
      <c r="C23" s="24" t="s">
        <v>467</v>
      </c>
    </row>
    <row r="24" spans="1:3" x14ac:dyDescent="0.25">
      <c r="A24" s="22" t="s">
        <v>479</v>
      </c>
      <c r="B24" s="25">
        <v>75000</v>
      </c>
      <c r="C24" s="24" t="s">
        <v>467</v>
      </c>
    </row>
    <row r="26" spans="1:3" x14ac:dyDescent="0.25">
      <c r="A26" s="22" t="s">
        <v>475</v>
      </c>
      <c r="B26" s="23">
        <v>25000</v>
      </c>
      <c r="C26" s="24" t="s">
        <v>472</v>
      </c>
    </row>
    <row r="27" spans="1:3" x14ac:dyDescent="0.25">
      <c r="A27" s="22" t="s">
        <v>476</v>
      </c>
      <c r="B27" s="23">
        <v>25000</v>
      </c>
      <c r="C27" s="24" t="s">
        <v>472</v>
      </c>
    </row>
    <row r="28" spans="1:3" x14ac:dyDescent="0.25">
      <c r="A28" s="22" t="s">
        <v>477</v>
      </c>
      <c r="B28" s="23">
        <v>25000</v>
      </c>
      <c r="C28" s="24" t="s">
        <v>472</v>
      </c>
    </row>
    <row r="29" spans="1:3" x14ac:dyDescent="0.25">
      <c r="A29" s="22" t="s">
        <v>35</v>
      </c>
      <c r="B29" s="25">
        <v>0</v>
      </c>
      <c r="C29" s="24" t="s">
        <v>472</v>
      </c>
    </row>
    <row r="30" spans="1:3" x14ac:dyDescent="0.25">
      <c r="A30" s="22" t="s">
        <v>40</v>
      </c>
      <c r="B30" s="25">
        <v>0</v>
      </c>
      <c r="C30" s="24" t="s">
        <v>472</v>
      </c>
    </row>
    <row r="31" spans="1:3" x14ac:dyDescent="0.25">
      <c r="A31" s="22" t="s">
        <v>47</v>
      </c>
      <c r="B31" s="25">
        <v>0</v>
      </c>
      <c r="C31" s="24" t="s">
        <v>472</v>
      </c>
    </row>
    <row r="32" spans="1:3" x14ac:dyDescent="0.25">
      <c r="A32" s="22" t="s">
        <v>59</v>
      </c>
      <c r="B32" s="25">
        <v>0</v>
      </c>
      <c r="C32" s="24" t="s">
        <v>472</v>
      </c>
    </row>
    <row r="33" spans="1:3" x14ac:dyDescent="0.25">
      <c r="A33" s="22" t="s">
        <v>88</v>
      </c>
      <c r="B33" s="25">
        <v>0</v>
      </c>
      <c r="C33" s="24" t="s">
        <v>472</v>
      </c>
    </row>
    <row r="34" spans="1:3" x14ac:dyDescent="0.25">
      <c r="A34" s="22" t="s">
        <v>475</v>
      </c>
      <c r="B34" s="25">
        <v>0</v>
      </c>
      <c r="C34" s="24" t="s">
        <v>472</v>
      </c>
    </row>
    <row r="35" spans="1:3" x14ac:dyDescent="0.25">
      <c r="A35" s="22" t="s">
        <v>149</v>
      </c>
      <c r="B35" s="25">
        <v>0</v>
      </c>
      <c r="C35" s="24" t="s">
        <v>472</v>
      </c>
    </row>
    <row r="36" spans="1:3" x14ac:dyDescent="0.25">
      <c r="A36" s="22" t="s">
        <v>209</v>
      </c>
      <c r="B36" s="25">
        <v>0</v>
      </c>
      <c r="C36" s="24" t="s">
        <v>472</v>
      </c>
    </row>
    <row r="37" spans="1:3" x14ac:dyDescent="0.25">
      <c r="A37" s="22" t="s">
        <v>211</v>
      </c>
      <c r="B37" s="25">
        <v>0</v>
      </c>
      <c r="C37" s="24" t="s">
        <v>472</v>
      </c>
    </row>
    <row r="38" spans="1:3" x14ac:dyDescent="0.25">
      <c r="A38" s="22" t="s">
        <v>224</v>
      </c>
      <c r="B38" s="25">
        <v>0</v>
      </c>
      <c r="C38" s="24" t="s">
        <v>472</v>
      </c>
    </row>
    <row r="39" spans="1:3" x14ac:dyDescent="0.25">
      <c r="A39" s="22" t="s">
        <v>227</v>
      </c>
      <c r="B39" s="25">
        <v>0</v>
      </c>
      <c r="C39" s="24" t="s">
        <v>472</v>
      </c>
    </row>
    <row r="40" spans="1:3" x14ac:dyDescent="0.25">
      <c r="A40" s="22" t="s">
        <v>242</v>
      </c>
      <c r="B40" s="25">
        <v>0</v>
      </c>
      <c r="C40" s="24" t="s">
        <v>472</v>
      </c>
    </row>
    <row r="41" spans="1:3" x14ac:dyDescent="0.25">
      <c r="A41" s="22" t="s">
        <v>245</v>
      </c>
      <c r="B41" s="25">
        <v>0</v>
      </c>
      <c r="C41" s="24" t="s">
        <v>472</v>
      </c>
    </row>
    <row r="42" spans="1:3" x14ac:dyDescent="0.25">
      <c r="A42" s="22" t="s">
        <v>283</v>
      </c>
      <c r="B42" s="25">
        <v>0</v>
      </c>
      <c r="C42" s="24" t="s">
        <v>472</v>
      </c>
    </row>
    <row r="43" spans="1:3" x14ac:dyDescent="0.25">
      <c r="A43" s="22" t="s">
        <v>306</v>
      </c>
      <c r="B43" s="25">
        <v>0</v>
      </c>
      <c r="C43" s="24" t="s">
        <v>472</v>
      </c>
    </row>
    <row r="44" spans="1:3" x14ac:dyDescent="0.25">
      <c r="A44" s="22" t="s">
        <v>476</v>
      </c>
      <c r="B44" s="25">
        <v>0</v>
      </c>
      <c r="C44" s="24" t="s">
        <v>472</v>
      </c>
    </row>
    <row r="45" spans="1:3" x14ac:dyDescent="0.25">
      <c r="A45" s="22" t="s">
        <v>351</v>
      </c>
      <c r="B45" s="25">
        <v>0</v>
      </c>
      <c r="C45" s="24" t="s">
        <v>472</v>
      </c>
    </row>
    <row r="46" spans="1:3" x14ac:dyDescent="0.25">
      <c r="A46" s="22" t="s">
        <v>372</v>
      </c>
      <c r="B46" s="25">
        <v>0</v>
      </c>
      <c r="C46" s="24" t="s">
        <v>472</v>
      </c>
    </row>
    <row r="47" spans="1:3" x14ac:dyDescent="0.25">
      <c r="A47" s="22" t="s">
        <v>478</v>
      </c>
      <c r="B47" s="25">
        <v>0</v>
      </c>
      <c r="C47" s="24" t="s">
        <v>472</v>
      </c>
    </row>
    <row r="48" spans="1:3" x14ac:dyDescent="0.25">
      <c r="A48" s="22" t="s">
        <v>479</v>
      </c>
      <c r="B48" s="25">
        <v>75000</v>
      </c>
      <c r="C48" s="24" t="s">
        <v>472</v>
      </c>
    </row>
    <row r="50" spans="1:3" x14ac:dyDescent="0.25">
      <c r="A50" s="22" t="s">
        <v>475</v>
      </c>
      <c r="B50" s="23">
        <v>25000</v>
      </c>
      <c r="C50" s="24" t="s">
        <v>468</v>
      </c>
    </row>
    <row r="51" spans="1:3" x14ac:dyDescent="0.25">
      <c r="A51" s="22" t="s">
        <v>476</v>
      </c>
      <c r="B51" s="23">
        <v>25000</v>
      </c>
      <c r="C51" s="24" t="s">
        <v>468</v>
      </c>
    </row>
    <row r="52" spans="1:3" x14ac:dyDescent="0.25">
      <c r="A52" s="22" t="s">
        <v>477</v>
      </c>
      <c r="B52" s="23">
        <v>25000</v>
      </c>
      <c r="C52" s="24" t="s">
        <v>468</v>
      </c>
    </row>
    <row r="53" spans="1:3" x14ac:dyDescent="0.25">
      <c r="A53" s="22" t="s">
        <v>35</v>
      </c>
      <c r="B53" s="25">
        <v>0</v>
      </c>
      <c r="C53" s="24" t="s">
        <v>468</v>
      </c>
    </row>
    <row r="54" spans="1:3" x14ac:dyDescent="0.25">
      <c r="A54" s="22" t="s">
        <v>40</v>
      </c>
      <c r="B54" s="25">
        <v>0</v>
      </c>
      <c r="C54" s="24" t="s">
        <v>468</v>
      </c>
    </row>
    <row r="55" spans="1:3" x14ac:dyDescent="0.25">
      <c r="A55" s="22" t="s">
        <v>47</v>
      </c>
      <c r="B55" s="25">
        <v>0</v>
      </c>
      <c r="C55" s="24" t="s">
        <v>468</v>
      </c>
    </row>
    <row r="56" spans="1:3" x14ac:dyDescent="0.25">
      <c r="A56" s="22" t="s">
        <v>59</v>
      </c>
      <c r="B56" s="25">
        <v>0</v>
      </c>
      <c r="C56" s="24" t="s">
        <v>468</v>
      </c>
    </row>
    <row r="57" spans="1:3" x14ac:dyDescent="0.25">
      <c r="A57" s="22" t="s">
        <v>88</v>
      </c>
      <c r="B57" s="25">
        <v>0</v>
      </c>
      <c r="C57" s="24" t="s">
        <v>468</v>
      </c>
    </row>
    <row r="58" spans="1:3" x14ac:dyDescent="0.25">
      <c r="A58" s="22" t="s">
        <v>475</v>
      </c>
      <c r="B58" s="25">
        <v>0</v>
      </c>
      <c r="C58" s="24" t="s">
        <v>468</v>
      </c>
    </row>
    <row r="59" spans="1:3" x14ac:dyDescent="0.25">
      <c r="A59" s="22" t="s">
        <v>149</v>
      </c>
      <c r="B59" s="25">
        <v>0</v>
      </c>
      <c r="C59" s="24" t="s">
        <v>468</v>
      </c>
    </row>
    <row r="60" spans="1:3" x14ac:dyDescent="0.25">
      <c r="A60" s="22" t="s">
        <v>209</v>
      </c>
      <c r="B60" s="25">
        <v>0</v>
      </c>
      <c r="C60" s="24" t="s">
        <v>468</v>
      </c>
    </row>
    <row r="61" spans="1:3" x14ac:dyDescent="0.25">
      <c r="A61" s="22" t="s">
        <v>211</v>
      </c>
      <c r="B61" s="25">
        <v>0</v>
      </c>
      <c r="C61" s="24" t="s">
        <v>468</v>
      </c>
    </row>
    <row r="62" spans="1:3" x14ac:dyDescent="0.25">
      <c r="A62" s="22" t="s">
        <v>224</v>
      </c>
      <c r="B62" s="25">
        <v>0</v>
      </c>
      <c r="C62" s="24" t="s">
        <v>468</v>
      </c>
    </row>
    <row r="63" spans="1:3" x14ac:dyDescent="0.25">
      <c r="A63" s="22" t="s">
        <v>227</v>
      </c>
      <c r="B63" s="25">
        <v>0</v>
      </c>
      <c r="C63" s="24" t="s">
        <v>468</v>
      </c>
    </row>
    <row r="64" spans="1:3" x14ac:dyDescent="0.25">
      <c r="A64" s="22" t="s">
        <v>242</v>
      </c>
      <c r="B64" s="25">
        <v>0</v>
      </c>
      <c r="C64" s="24" t="s">
        <v>468</v>
      </c>
    </row>
    <row r="65" spans="1:3" x14ac:dyDescent="0.25">
      <c r="A65" s="22" t="s">
        <v>245</v>
      </c>
      <c r="B65" s="25">
        <v>0</v>
      </c>
      <c r="C65" s="24" t="s">
        <v>468</v>
      </c>
    </row>
    <row r="66" spans="1:3" x14ac:dyDescent="0.25">
      <c r="A66" s="22" t="s">
        <v>283</v>
      </c>
      <c r="B66" s="25">
        <v>0</v>
      </c>
      <c r="C66" s="24" t="s">
        <v>468</v>
      </c>
    </row>
    <row r="67" spans="1:3" x14ac:dyDescent="0.25">
      <c r="A67" s="22" t="s">
        <v>306</v>
      </c>
      <c r="B67" s="25">
        <v>0</v>
      </c>
      <c r="C67" s="24" t="s">
        <v>468</v>
      </c>
    </row>
    <row r="68" spans="1:3" x14ac:dyDescent="0.25">
      <c r="A68" s="22" t="s">
        <v>476</v>
      </c>
      <c r="B68" s="25">
        <v>0</v>
      </c>
      <c r="C68" s="24" t="s">
        <v>468</v>
      </c>
    </row>
    <row r="69" spans="1:3" x14ac:dyDescent="0.25">
      <c r="A69" s="22" t="s">
        <v>351</v>
      </c>
      <c r="B69" s="25">
        <v>0</v>
      </c>
      <c r="C69" s="24" t="s">
        <v>468</v>
      </c>
    </row>
    <row r="70" spans="1:3" x14ac:dyDescent="0.25">
      <c r="A70" s="22" t="s">
        <v>372</v>
      </c>
      <c r="B70" s="25">
        <v>0</v>
      </c>
      <c r="C70" s="24" t="s">
        <v>468</v>
      </c>
    </row>
    <row r="71" spans="1:3" x14ac:dyDescent="0.25">
      <c r="A71" s="22" t="s">
        <v>478</v>
      </c>
      <c r="B71" s="25">
        <v>0</v>
      </c>
      <c r="C71" s="24" t="s">
        <v>468</v>
      </c>
    </row>
    <row r="72" spans="1:3" x14ac:dyDescent="0.25">
      <c r="A72" s="22" t="s">
        <v>479</v>
      </c>
      <c r="B72" s="25">
        <v>75000</v>
      </c>
      <c r="C72" s="24" t="s">
        <v>468</v>
      </c>
    </row>
    <row r="74" spans="1:3" x14ac:dyDescent="0.25">
      <c r="A74" s="22" t="s">
        <v>475</v>
      </c>
      <c r="B74" s="23">
        <v>25000</v>
      </c>
      <c r="C74" s="24" t="s">
        <v>471</v>
      </c>
    </row>
    <row r="75" spans="1:3" x14ac:dyDescent="0.25">
      <c r="A75" s="22" t="s">
        <v>476</v>
      </c>
      <c r="B75" s="23">
        <v>25000</v>
      </c>
      <c r="C75" s="24" t="s">
        <v>471</v>
      </c>
    </row>
    <row r="76" spans="1:3" x14ac:dyDescent="0.25">
      <c r="A76" s="22" t="s">
        <v>477</v>
      </c>
      <c r="B76" s="23">
        <v>25000</v>
      </c>
      <c r="C76" s="24" t="s">
        <v>471</v>
      </c>
    </row>
    <row r="77" spans="1:3" x14ac:dyDescent="0.25">
      <c r="A77" s="22" t="s">
        <v>35</v>
      </c>
      <c r="B77" s="25">
        <v>0</v>
      </c>
      <c r="C77" s="24" t="s">
        <v>471</v>
      </c>
    </row>
    <row r="78" spans="1:3" x14ac:dyDescent="0.25">
      <c r="A78" s="22" t="s">
        <v>40</v>
      </c>
      <c r="B78" s="25">
        <v>0</v>
      </c>
      <c r="C78" s="24" t="s">
        <v>471</v>
      </c>
    </row>
    <row r="79" spans="1:3" x14ac:dyDescent="0.25">
      <c r="A79" s="22" t="s">
        <v>47</v>
      </c>
      <c r="B79" s="25">
        <v>0</v>
      </c>
      <c r="C79" s="24" t="s">
        <v>471</v>
      </c>
    </row>
    <row r="80" spans="1:3" x14ac:dyDescent="0.25">
      <c r="A80" s="22" t="s">
        <v>59</v>
      </c>
      <c r="B80" s="25">
        <v>0</v>
      </c>
      <c r="C80" s="24" t="s">
        <v>471</v>
      </c>
    </row>
    <row r="81" spans="1:3" x14ac:dyDescent="0.25">
      <c r="A81" s="22" t="s">
        <v>88</v>
      </c>
      <c r="B81" s="25">
        <v>0</v>
      </c>
      <c r="C81" s="24" t="s">
        <v>471</v>
      </c>
    </row>
    <row r="82" spans="1:3" x14ac:dyDescent="0.25">
      <c r="A82" s="22" t="s">
        <v>475</v>
      </c>
      <c r="B82" s="25">
        <v>0</v>
      </c>
      <c r="C82" s="24" t="s">
        <v>471</v>
      </c>
    </row>
    <row r="83" spans="1:3" x14ac:dyDescent="0.25">
      <c r="A83" s="22" t="s">
        <v>149</v>
      </c>
      <c r="B83" s="25">
        <v>0</v>
      </c>
      <c r="C83" s="24" t="s">
        <v>471</v>
      </c>
    </row>
    <row r="84" spans="1:3" x14ac:dyDescent="0.25">
      <c r="A84" s="22" t="s">
        <v>209</v>
      </c>
      <c r="B84" s="25">
        <v>0</v>
      </c>
      <c r="C84" s="24" t="s">
        <v>471</v>
      </c>
    </row>
    <row r="85" spans="1:3" x14ac:dyDescent="0.25">
      <c r="A85" s="22" t="s">
        <v>211</v>
      </c>
      <c r="B85" s="25">
        <v>0</v>
      </c>
      <c r="C85" s="24" t="s">
        <v>471</v>
      </c>
    </row>
    <row r="86" spans="1:3" x14ac:dyDescent="0.25">
      <c r="A86" s="22" t="s">
        <v>224</v>
      </c>
      <c r="B86" s="25">
        <v>0</v>
      </c>
      <c r="C86" s="24" t="s">
        <v>471</v>
      </c>
    </row>
    <row r="87" spans="1:3" x14ac:dyDescent="0.25">
      <c r="A87" s="22" t="s">
        <v>227</v>
      </c>
      <c r="B87" s="25">
        <v>0</v>
      </c>
      <c r="C87" s="24" t="s">
        <v>471</v>
      </c>
    </row>
    <row r="88" spans="1:3" x14ac:dyDescent="0.25">
      <c r="A88" s="22" t="s">
        <v>242</v>
      </c>
      <c r="B88" s="25">
        <v>0</v>
      </c>
      <c r="C88" s="24" t="s">
        <v>471</v>
      </c>
    </row>
    <row r="89" spans="1:3" x14ac:dyDescent="0.25">
      <c r="A89" s="22" t="s">
        <v>245</v>
      </c>
      <c r="B89" s="25">
        <v>0</v>
      </c>
      <c r="C89" s="24" t="s">
        <v>471</v>
      </c>
    </row>
    <row r="90" spans="1:3" x14ac:dyDescent="0.25">
      <c r="A90" s="22" t="s">
        <v>283</v>
      </c>
      <c r="B90" s="25">
        <v>0</v>
      </c>
      <c r="C90" s="24" t="s">
        <v>471</v>
      </c>
    </row>
    <row r="91" spans="1:3" x14ac:dyDescent="0.25">
      <c r="A91" s="22" t="s">
        <v>306</v>
      </c>
      <c r="B91" s="25">
        <v>0</v>
      </c>
      <c r="C91" s="24" t="s">
        <v>471</v>
      </c>
    </row>
    <row r="92" spans="1:3" x14ac:dyDescent="0.25">
      <c r="A92" s="22" t="s">
        <v>476</v>
      </c>
      <c r="B92" s="25">
        <v>0</v>
      </c>
      <c r="C92" s="24" t="s">
        <v>471</v>
      </c>
    </row>
    <row r="93" spans="1:3" x14ac:dyDescent="0.25">
      <c r="A93" s="22" t="s">
        <v>351</v>
      </c>
      <c r="B93" s="25">
        <v>0</v>
      </c>
      <c r="C93" s="24" t="s">
        <v>471</v>
      </c>
    </row>
    <row r="94" spans="1:3" x14ac:dyDescent="0.25">
      <c r="A94" s="22" t="s">
        <v>372</v>
      </c>
      <c r="B94" s="25">
        <v>0</v>
      </c>
      <c r="C94" s="24" t="s">
        <v>471</v>
      </c>
    </row>
    <row r="95" spans="1:3" x14ac:dyDescent="0.25">
      <c r="A95" s="22" t="s">
        <v>478</v>
      </c>
      <c r="B95" s="25">
        <v>0</v>
      </c>
      <c r="C95" s="24" t="s">
        <v>471</v>
      </c>
    </row>
    <row r="96" spans="1:3" x14ac:dyDescent="0.25">
      <c r="A96" s="22" t="s">
        <v>479</v>
      </c>
      <c r="B96" s="25">
        <v>75000</v>
      </c>
      <c r="C96" s="24" t="s">
        <v>471</v>
      </c>
    </row>
  </sheetData>
  <autoFilter ref="C1:C96" xr:uid="{5F298819-FB36-4B08-8455-6F8E1E2E1C45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1. Maint Account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Adarsh Shetty</dc:creator>
  <cp:lastModifiedBy>NJ ಕನ್ನಡಿಗ</cp:lastModifiedBy>
  <dcterms:created xsi:type="dcterms:W3CDTF">2026-01-14T06:52:39Z</dcterms:created>
  <dcterms:modified xsi:type="dcterms:W3CDTF">2026-01-20T11:02:42Z</dcterms:modified>
</cp:coreProperties>
</file>