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331AA363-DC73-46EB-A955-F7EA21B51DA9}" xr6:coauthVersionLast="47" xr6:coauthVersionMax="47" xr10:uidLastSave="{00000000-0000-0000-0000-000000000000}"/>
  <bookViews>
    <workbookView xWindow="-110" yWindow="-110" windowWidth="19420" windowHeight="11500" xr2:uid="{E3EEEF38-2566-4E0D-B73A-E94411E3623C}"/>
  </bookViews>
  <sheets>
    <sheet name="1. Maint Account" sheetId="1" r:id="rId1"/>
    <sheet name="OPEX Budget" sheetId="2" r:id="rId2"/>
    <sheet name="Capex Budget" sheetId="3" r:id="rId3"/>
  </sheets>
  <definedNames>
    <definedName name="_xlnm._FilterDatabase" localSheetId="0" hidden="1">'1. Maint Account'!$B$1:$Q$584</definedName>
    <definedName name="_xlnm._FilterDatabase" localSheetId="2" hidden="1">'Capex Budget'!$C$1:$C$96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R10" i="2" s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2" i="1"/>
  <c r="Q12" i="2" l="1"/>
  <c r="R12" i="2"/>
  <c r="Q4" i="2"/>
  <c r="P6" i="2"/>
  <c r="Q11" i="2"/>
  <c r="R11" i="2"/>
  <c r="Q8" i="2"/>
  <c r="R4" i="2"/>
  <c r="Q10" i="2"/>
  <c r="P5" i="2"/>
  <c r="P8" i="2"/>
  <c r="P11" i="2"/>
  <c r="P7" i="2"/>
  <c r="P10" i="2"/>
  <c r="Q6" i="2"/>
  <c r="R8" i="2"/>
  <c r="R5" i="2"/>
  <c r="Q9" i="2"/>
  <c r="Q7" i="2"/>
  <c r="Q5" i="2"/>
  <c r="P9" i="2"/>
  <c r="P4" i="2"/>
  <c r="P12" i="2"/>
  <c r="R9" i="2"/>
  <c r="R6" i="2"/>
  <c r="R7" i="2"/>
  <c r="P13" i="2" l="1"/>
  <c r="Q13" i="2"/>
  <c r="R13" i="2"/>
  <c r="B45" i="2"/>
  <c r="B11" i="2" l="1"/>
  <c r="B34" i="2" l="1"/>
  <c r="B23" i="2" l="1"/>
  <c r="E332" i="1" l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299" i="1"/>
  <c r="E298" i="1"/>
  <c r="E292" i="1"/>
  <c r="E291" i="1"/>
  <c r="E290" i="1"/>
  <c r="E289" i="1"/>
  <c r="E288" i="1"/>
  <c r="E287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08" i="1"/>
  <c r="E207" i="1"/>
  <c r="E206" i="1"/>
  <c r="E205" i="1"/>
</calcChain>
</file>

<file path=xl/sharedStrings.xml><?xml version="1.0" encoding="utf-8"?>
<sst xmlns="http://schemas.openxmlformats.org/spreadsheetml/2006/main" count="4035" uniqueCount="865">
  <si>
    <t>Sl.No</t>
  </si>
  <si>
    <t>Date of Invoice</t>
  </si>
  <si>
    <t>Invoice Number</t>
  </si>
  <si>
    <t>Payment Date</t>
  </si>
  <si>
    <t>Service Month</t>
  </si>
  <si>
    <t>Quarter</t>
  </si>
  <si>
    <t>Vendor Name</t>
  </si>
  <si>
    <t>Particulars</t>
  </si>
  <si>
    <t>Nature</t>
  </si>
  <si>
    <t>Taxable</t>
  </si>
  <si>
    <t>%</t>
  </si>
  <si>
    <t>Total</t>
  </si>
  <si>
    <t>TDS</t>
  </si>
  <si>
    <t>Net Paid</t>
  </si>
  <si>
    <t>Classification-1</t>
  </si>
  <si>
    <t>Q4 FY 24-25</t>
  </si>
  <si>
    <t>Mukajjar Smarttech India</t>
  </si>
  <si>
    <t>30% payment for removal of chamber cover</t>
  </si>
  <si>
    <t>RWH Works</t>
  </si>
  <si>
    <t>Capex</t>
  </si>
  <si>
    <t>Civil &amp; Lifts</t>
  </si>
  <si>
    <t>25-03-2025</t>
  </si>
  <si>
    <t>Quotation</t>
  </si>
  <si>
    <t>S R Office Suppliers</t>
  </si>
  <si>
    <t>Sodium hypochlorites,test kit,waste cloth</t>
  </si>
  <si>
    <t>STP- Consumables</t>
  </si>
  <si>
    <t>Ad-Hoc</t>
  </si>
  <si>
    <t>Water &amp; Sewage</t>
  </si>
  <si>
    <t>Blaze Design Tech</t>
  </si>
  <si>
    <t>30% advance payment forSupply and installation of 30 Zone</t>
  </si>
  <si>
    <t>Fire Alarm Installation</t>
  </si>
  <si>
    <t>Safety &amp; Security</t>
  </si>
  <si>
    <t>226/24-25</t>
  </si>
  <si>
    <t>Supply and providing of new granite door seal</t>
  </si>
  <si>
    <t>Purchase of Granite</t>
  </si>
  <si>
    <t>PTI202526-00914</t>
  </si>
  <si>
    <t>Automated Gate and security solution</t>
  </si>
  <si>
    <t>KLKA2526-04055</t>
  </si>
  <si>
    <t>Kre38 Labs pvt ltd</t>
  </si>
  <si>
    <t>Waltr A monthly subscription</t>
  </si>
  <si>
    <t>Water Level Meters</t>
  </si>
  <si>
    <t>Operating</t>
  </si>
  <si>
    <t>21-03-2025</t>
  </si>
  <si>
    <t>OP/24-25/1643</t>
  </si>
  <si>
    <t>Office point</t>
  </si>
  <si>
    <t>Box file YES955,Cello tape</t>
  </si>
  <si>
    <t>Housekeeping Consumables</t>
  </si>
  <si>
    <t>Estate Management</t>
  </si>
  <si>
    <t>IAC-17/2</t>
  </si>
  <si>
    <t>Think Thanx</t>
  </si>
  <si>
    <t>CCTV AMC charges for the month of March 2025</t>
  </si>
  <si>
    <t>CCTV Maint</t>
  </si>
  <si>
    <t>31-03-2025</t>
  </si>
  <si>
    <t>Sree Sai Ganesh Minerals</t>
  </si>
  <si>
    <t>20L Water can</t>
  </si>
  <si>
    <t>Drinking Water Can</t>
  </si>
  <si>
    <t>14-03-2025</t>
  </si>
  <si>
    <t>OP/24-25/1618</t>
  </si>
  <si>
    <t>Office Point</t>
  </si>
  <si>
    <t>Garbage Bag extra large pearl 40MIC</t>
  </si>
  <si>
    <t>Chandu Enterprises</t>
  </si>
  <si>
    <t>Remaining 50% for Material shade net</t>
  </si>
  <si>
    <t>Shade Net</t>
  </si>
  <si>
    <t>30-3-2025</t>
  </si>
  <si>
    <t>Sri Venkateshwara Enterprises</t>
  </si>
  <si>
    <t>Charges towards cleaning garbage for the month of March</t>
  </si>
  <si>
    <t>Garbage Collection</t>
  </si>
  <si>
    <t>Housekeeping &amp; Waste</t>
  </si>
  <si>
    <t>VS4-2025-26/014</t>
  </si>
  <si>
    <t>VS4</t>
  </si>
  <si>
    <t>Security guard</t>
  </si>
  <si>
    <t>Security Management Fees</t>
  </si>
  <si>
    <t>VS4-2025-26/013</t>
  </si>
  <si>
    <t>Fire Officer</t>
  </si>
  <si>
    <t>VS4-2025-26/012</t>
  </si>
  <si>
    <t>security officer,supervisor,guard,CCTV Operator</t>
  </si>
  <si>
    <t>28-03-2025</t>
  </si>
  <si>
    <t>222/24-25</t>
  </si>
  <si>
    <t>West gate entry and exit,Amber block entry,east gate entry and exit</t>
  </si>
  <si>
    <t>West gate Entry and Exit Civil Works</t>
  </si>
  <si>
    <t>Septron Machinaries</t>
  </si>
  <si>
    <t>50% Advance forMulti disc screw press model-Blue STP Screw press system supply &amp; Installation</t>
  </si>
  <si>
    <t>Screw Press Machine for STP-Blue</t>
  </si>
  <si>
    <t>Genex Utility &amp; Management</t>
  </si>
  <si>
    <t>Operation and maintenance charges</t>
  </si>
  <si>
    <t>STP/WTP Maint</t>
  </si>
  <si>
    <t>14-04-2025</t>
  </si>
  <si>
    <t>Sai suchith pest control</t>
  </si>
  <si>
    <t>Pyndor,fogging gas can</t>
  </si>
  <si>
    <t>Pest control Consumables</t>
  </si>
  <si>
    <t>Balaji electricals and lights gallery</t>
  </si>
  <si>
    <t>Core cable</t>
  </si>
  <si>
    <t>Electrical Items</t>
  </si>
  <si>
    <t>Electrical</t>
  </si>
  <si>
    <t>Contrast Engineering Works</t>
  </si>
  <si>
    <t>50% Advance for Donation Box Fabrication</t>
  </si>
  <si>
    <t>Fabrication - Donation Box</t>
  </si>
  <si>
    <t>OP/25-26/016</t>
  </si>
  <si>
    <t>Garbage Bag extra large, Mopstick metal rod</t>
  </si>
  <si>
    <t>15-04-2025</t>
  </si>
  <si>
    <t>Chandu enterprises</t>
  </si>
  <si>
    <t>Garware net</t>
  </si>
  <si>
    <t>Net</t>
  </si>
  <si>
    <t>Srinivas Agro Kendra</t>
  </si>
  <si>
    <t>Monocil,chorophyros,Tenget</t>
  </si>
  <si>
    <t>Landscaping Consumables</t>
  </si>
  <si>
    <t>Cocopit</t>
  </si>
  <si>
    <t>INV-25-26/0002</t>
  </si>
  <si>
    <t>Agarwal &amp; Shetty</t>
  </si>
  <si>
    <t>Book keeping charges</t>
  </si>
  <si>
    <t>Bookkeeping Services</t>
  </si>
  <si>
    <t>18-04-2025</t>
  </si>
  <si>
    <t>Harish Trading and Engineering</t>
  </si>
  <si>
    <t xml:space="preserve">Crimson Borewell Starter with auto phase </t>
  </si>
  <si>
    <t>Borewell</t>
  </si>
  <si>
    <t>26-03-2025</t>
  </si>
  <si>
    <t>Elon Facade</t>
  </si>
  <si>
    <t>50% Advance for Eyebolt Fixing</t>
  </si>
  <si>
    <t>Eyebolt Fixing</t>
  </si>
  <si>
    <t>17-04-2025</t>
  </si>
  <si>
    <t>Poonam Hardware &amp; Electricals</t>
  </si>
  <si>
    <t>ACC Cement</t>
  </si>
  <si>
    <t>Plumbing Consumables</t>
  </si>
  <si>
    <t>19-04-2025</t>
  </si>
  <si>
    <t>Plumbing Material</t>
  </si>
  <si>
    <t>Crimson and Amber RWH Works</t>
  </si>
  <si>
    <t>Silk cable</t>
  </si>
  <si>
    <t>16-04-2025</t>
  </si>
  <si>
    <t>Sri Maruthi Septic Cleaners</t>
  </si>
  <si>
    <t>Sewage sludge disposal from Blue Block STP</t>
  </si>
  <si>
    <t>STP- Sludge Removal</t>
  </si>
  <si>
    <t>13-04-2025</t>
  </si>
  <si>
    <t>Pipe, Bend, Core cable</t>
  </si>
  <si>
    <t>Moksha Distributors</t>
  </si>
  <si>
    <t>UP &amp; Down Down light</t>
  </si>
  <si>
    <t>23-04-2025</t>
  </si>
  <si>
    <t>IV-25-007</t>
  </si>
  <si>
    <t>Remaining 50% for eye bolt fixing</t>
  </si>
  <si>
    <t>Karnataka Motors Rewinding Co</t>
  </si>
  <si>
    <t>50% Advance for lubi make monoblock pump Motor</t>
  </si>
  <si>
    <t>Motor Pump Service</t>
  </si>
  <si>
    <t>Om Enterprises</t>
  </si>
  <si>
    <t>Green protection Mesh</t>
  </si>
  <si>
    <t>ICICI</t>
  </si>
  <si>
    <t>Bank Charges</t>
  </si>
  <si>
    <t>BESCOM</t>
  </si>
  <si>
    <t xml:space="preserve">BESCOM- Common Area March </t>
  </si>
  <si>
    <t>BESCOM Bills</t>
  </si>
  <si>
    <t>29-04-2025</t>
  </si>
  <si>
    <t>Advance Facade cleaning</t>
  </si>
  <si>
    <t>Facade cleaning</t>
  </si>
  <si>
    <t>22-04-2025</t>
  </si>
  <si>
    <t>Urban Blossom</t>
  </si>
  <si>
    <t>Maintenance of Landscaped Garden for the month of March25</t>
  </si>
  <si>
    <t>Gardening &amp; Landscaping Management fees</t>
  </si>
  <si>
    <t>Landscaping &amp; ERT</t>
  </si>
  <si>
    <t>25-04-2025</t>
  </si>
  <si>
    <t>Convex mirror purchased</t>
  </si>
  <si>
    <t>Purchase of Convex Mirror</t>
  </si>
  <si>
    <t>SVS 3D Pool services</t>
  </si>
  <si>
    <t>Swimming pool filter services</t>
  </si>
  <si>
    <t>Swimming Pool Consumables</t>
  </si>
  <si>
    <t>30-04-2025</t>
  </si>
  <si>
    <t>SMPI-06/25-26</t>
  </si>
  <si>
    <t>Remaining payment for Multi disc screw press machine-Blue STP Screw press system supply &amp; Installation</t>
  </si>
  <si>
    <t>20L Water Can</t>
  </si>
  <si>
    <t>Adnan Enterprises</t>
  </si>
  <si>
    <t>Dustbin FRP Duo</t>
  </si>
  <si>
    <t>Rubber Hole Mate</t>
  </si>
  <si>
    <t>KLKA2526-05046</t>
  </si>
  <si>
    <t>Waltr Monthly Subscription</t>
  </si>
  <si>
    <t>20-04-2025</t>
  </si>
  <si>
    <t>Pasolite Electric Co</t>
  </si>
  <si>
    <t>50% Advance for DR016 LED Driver</t>
  </si>
  <si>
    <t>Jasvanth Singh Nursery</t>
  </si>
  <si>
    <t>Advance for china doll,Ficus,Lantana</t>
  </si>
  <si>
    <t>Garden &amp; Landscaping Materials</t>
  </si>
  <si>
    <t>Dustbin</t>
  </si>
  <si>
    <t>21-04-2025</t>
  </si>
  <si>
    <t>Sriyadevi Electricals and Hardware</t>
  </si>
  <si>
    <t>Anchor bolt</t>
  </si>
  <si>
    <t>INV-25-26/0020</t>
  </si>
  <si>
    <t>WC parts for Amber Staffroom</t>
  </si>
  <si>
    <t>02/25-26</t>
  </si>
  <si>
    <t>Charges towards clearing Garbage</t>
  </si>
  <si>
    <t>Sahara Waterproofing</t>
  </si>
  <si>
    <t>50% Advance for Concrete surface Cleaning/chipping/grinding</t>
  </si>
  <si>
    <t>Clubhouse Terrace &amp; Swimming Pool water work</t>
  </si>
  <si>
    <t>012/25-26</t>
  </si>
  <si>
    <t>Crimson RWH Civil works as per the annexure</t>
  </si>
  <si>
    <t>P1/8299/2025-26</t>
  </si>
  <si>
    <t>Algo Hydro Tech</t>
  </si>
  <si>
    <t>Waste water cutter pump</t>
  </si>
  <si>
    <t>STP Water Cutter Pump</t>
  </si>
  <si>
    <t>26-04-2025</t>
  </si>
  <si>
    <t>Assian Colling System</t>
  </si>
  <si>
    <t>GYM Room AC Servicing</t>
  </si>
  <si>
    <t>AC- Servicing</t>
  </si>
  <si>
    <t>28-04-2025</t>
  </si>
  <si>
    <t>Remaining payment for supply of conventional fire alaram</t>
  </si>
  <si>
    <t>Sai Suchith Pest Control</t>
  </si>
  <si>
    <t>Pyndor, Fogging Gas can</t>
  </si>
  <si>
    <t>CCTV AMC Charges for the month of April</t>
  </si>
  <si>
    <t>IAC-17/37</t>
  </si>
  <si>
    <t>Creeper fig, Tecoma Orange, Pandanus</t>
  </si>
  <si>
    <t>SWP/24/25/00038</t>
  </si>
  <si>
    <t>20% Advance for Swimming pool arae tile works</t>
  </si>
  <si>
    <t>Remaining payment for Donation box Fabrication</t>
  </si>
  <si>
    <t>VS4-2025-26/PI009</t>
  </si>
  <si>
    <t>Fire Officer, Service charge</t>
  </si>
  <si>
    <t>VS4-2025-26/PI010</t>
  </si>
  <si>
    <t>Security Guard, Service charge</t>
  </si>
  <si>
    <t>VS4-2025-26/PI008</t>
  </si>
  <si>
    <t>Security officer, Security Supervisior, Head guard</t>
  </si>
  <si>
    <t>Operation and Maintenance charges</t>
  </si>
  <si>
    <t>50% Advance for LED Rope Light, LED Rope light cord</t>
  </si>
  <si>
    <t>Amber STP Drain pump plumbing work</t>
  </si>
  <si>
    <t>Siri Aishwarya Nursery and gardening</t>
  </si>
  <si>
    <t>Buffalo Grass(Shade Grass)</t>
  </si>
  <si>
    <t>Mexican
  Grass</t>
  </si>
  <si>
    <t>VR MAY 25-26 0144</t>
  </si>
  <si>
    <t>V R FACILITY SERVICES</t>
  </si>
  <si>
    <t>EM</t>
  </si>
  <si>
    <t>VRFS- Estate Management</t>
  </si>
  <si>
    <t>Technical Manager</t>
  </si>
  <si>
    <t>Store Executive</t>
  </si>
  <si>
    <t>Assistant Property Manager (Softservices)</t>
  </si>
  <si>
    <t>Helpdesk Exective</t>
  </si>
  <si>
    <t>Electricians</t>
  </si>
  <si>
    <t>VRFS- Electricians</t>
  </si>
  <si>
    <t>Sr. Plumbers</t>
  </si>
  <si>
    <t>VRFS- Plumbers</t>
  </si>
  <si>
    <t>Carpenter</t>
  </si>
  <si>
    <t>VRFS- Carpenters &amp; Multi Technician</t>
  </si>
  <si>
    <t>Multi Technician/ Handiman</t>
  </si>
  <si>
    <t>House Keeping Supervisor</t>
  </si>
  <si>
    <t>VRFS-Housekeeping Salary</t>
  </si>
  <si>
    <t>House Keepers</t>
  </si>
  <si>
    <t>Equipment Cost</t>
  </si>
  <si>
    <t>Swimming Pool</t>
  </si>
  <si>
    <t>VRFS-Swimming Pool Manit</t>
  </si>
  <si>
    <t>ClubHouse</t>
  </si>
  <si>
    <t>Pest Control Management</t>
  </si>
  <si>
    <t>Management Fees</t>
  </si>
  <si>
    <t>IV-25-05</t>
  </si>
  <si>
    <t>Remaining payment for Facade cleaning</t>
  </si>
  <si>
    <t>Professional tax for the year 2025-26</t>
  </si>
  <si>
    <t>22/04/2025</t>
  </si>
  <si>
    <t>50% Advance for Supply of conventional fire alaram with accessories</t>
  </si>
  <si>
    <t>Garbage cover Large, Mop clip, Mop stick</t>
  </si>
  <si>
    <t>14-05-2025</t>
  </si>
  <si>
    <t>13-05-2025</t>
  </si>
  <si>
    <t>Spider Lily, Eranthimum</t>
  </si>
  <si>
    <t>Foxtail ferm, Ficus,Bird of paradise</t>
  </si>
  <si>
    <t>30% Advance for External precast compound wall, Landscaping</t>
  </si>
  <si>
    <t>External Precast Compound wall</t>
  </si>
  <si>
    <t>15-05-2025</t>
  </si>
  <si>
    <t>Blue STP Screw press and crimson rain water plumbing material</t>
  </si>
  <si>
    <t>Common area painting Material</t>
  </si>
  <si>
    <t>50% Advance for ABB Make Induction Blower Motor</t>
  </si>
  <si>
    <t>25/267057</t>
  </si>
  <si>
    <t>Remaning payment for Lubi make monoblock pump motor</t>
  </si>
  <si>
    <t>19-05-2025</t>
  </si>
  <si>
    <t>INV-004359</t>
  </si>
  <si>
    <t>Noah Sports Pvt ltd</t>
  </si>
  <si>
    <t>Tourna Dri Rain Shuttle</t>
  </si>
  <si>
    <t>ClubHouse Purchases</t>
  </si>
  <si>
    <t>16-05-2025</t>
  </si>
  <si>
    <t>Assian colling system</t>
  </si>
  <si>
    <t>TT Room AC repair</t>
  </si>
  <si>
    <t>Sri Venkateshwar earth movers</t>
  </si>
  <si>
    <t>Cow dung manure fertilizers</t>
  </si>
  <si>
    <t>Red soil</t>
  </si>
  <si>
    <t>17-05-2025</t>
  </si>
  <si>
    <t>1267/2025-26</t>
  </si>
  <si>
    <t>SLN Testing Laboratory pvt ltd</t>
  </si>
  <si>
    <t>Testing charges Rain water</t>
  </si>
  <si>
    <t>Rainwater Testing</t>
  </si>
  <si>
    <t>SLPS2025-26-047</t>
  </si>
  <si>
    <t>Sri Lakshmi Power Service</t>
  </si>
  <si>
    <t>Supply of exide xpress 180 AH battery with 36 months warranty</t>
  </si>
  <si>
    <t>Lift/UPS Batteries</t>
  </si>
  <si>
    <t>20-05-2025</t>
  </si>
  <si>
    <t>Distlled water</t>
  </si>
  <si>
    <t>Srinivas Agro kendra</t>
  </si>
  <si>
    <t>Fly out proxme 20 E.C</t>
  </si>
  <si>
    <t>KR/O/2501508</t>
  </si>
  <si>
    <t>OTIS</t>
  </si>
  <si>
    <t>Maintenance charges for the lift- April to Sep 2025 (CH)</t>
  </si>
  <si>
    <t>OTIS- Lift Maint</t>
  </si>
  <si>
    <t>KR/0/25015011</t>
  </si>
  <si>
    <t>Maintenance charges for the lift- April to Sep 2025 (Amber)</t>
  </si>
  <si>
    <t>KR/O/2501512</t>
  </si>
  <si>
    <t>Maintenance charges for the lift- April to Sep 2025 (Crimson)</t>
  </si>
  <si>
    <t>KR/O/2501509</t>
  </si>
  <si>
    <t>Maintenance charges for the lift- April to Sep 2025 (Blue)</t>
  </si>
  <si>
    <t>UC2110169</t>
  </si>
  <si>
    <t>Urban Contracting Company</t>
  </si>
  <si>
    <t>50% Advance for clubhouse 2 fountains,west gate fountain</t>
  </si>
  <si>
    <t>ClubHouse Maint</t>
  </si>
  <si>
    <t>28-05-2025</t>
  </si>
  <si>
    <t>Amber common area painting</t>
  </si>
  <si>
    <t>24-05-2025</t>
  </si>
  <si>
    <t>Blue STP Garden motor pipeline plumbing material</t>
  </si>
  <si>
    <t>21-05-2025</t>
  </si>
  <si>
    <t>Veer Sports Fitness</t>
  </si>
  <si>
    <t>Treadmill roller bearing and lathe work</t>
  </si>
  <si>
    <t>EME Tech</t>
  </si>
  <si>
    <t>CH Civil works-Painting Work, Disilting works and External Wall Repairs-30%</t>
  </si>
  <si>
    <t>CH - Civil Work</t>
  </si>
  <si>
    <t>SWP/25/26/0001</t>
  </si>
  <si>
    <t>Remaining payment for concerete surface. Cleaning/chipping</t>
  </si>
  <si>
    <t>30% Advance for construction project steps initial site preparation</t>
  </si>
  <si>
    <t xml:space="preserve">BESCOM- Common Area April </t>
  </si>
  <si>
    <t>29-05-2025</t>
  </si>
  <si>
    <t>UC2110165</t>
  </si>
  <si>
    <t>Urban contracting company</t>
  </si>
  <si>
    <t>Remaning payment for marble polishing of Clubhouse fountains</t>
  </si>
  <si>
    <t>1406/2025-26</t>
  </si>
  <si>
    <t>Testing charges Rain water May 2025 samples</t>
  </si>
  <si>
    <t>23-05-2025</t>
  </si>
  <si>
    <t>AKS/22131/2025-26</t>
  </si>
  <si>
    <t>K S R Ceramics</t>
  </si>
  <si>
    <t>JAQ -ALD-CHR-573-Hand SH 1.2 M Flex Tube</t>
  </si>
  <si>
    <t>Flex Tube</t>
  </si>
  <si>
    <t>Acalypha, Ophiopogen green,Cement pot</t>
  </si>
  <si>
    <t>Buffallo Grass</t>
  </si>
  <si>
    <t>26-05-2025</t>
  </si>
  <si>
    <t>Maintenance of Landscaped Garden for the month of April25</t>
  </si>
  <si>
    <t>25% Advance forEast wall civil, landscaping, and road work</t>
  </si>
  <si>
    <t>East Wall Civil Works</t>
  </si>
  <si>
    <t>31-05-2025</t>
  </si>
  <si>
    <t>Plumbing material</t>
  </si>
  <si>
    <t>IAC-17/73</t>
  </si>
  <si>
    <t>CCTV AMC Charges for the month of May</t>
  </si>
  <si>
    <t>50% advance for Air filter element,coolant 5 ltr pack pre mix</t>
  </si>
  <si>
    <t>DG Consumables</t>
  </si>
  <si>
    <t>50% advance forKirloskar lub oil,lub oil filter</t>
  </si>
  <si>
    <t>VS4-2025-26/178</t>
  </si>
  <si>
    <t>Security officer,Security Supervisior, Head guard</t>
  </si>
  <si>
    <t>VS4-2025-26/180</t>
  </si>
  <si>
    <t>Security guard, service charge</t>
  </si>
  <si>
    <t>VS4-2025-26/179</t>
  </si>
  <si>
    <t>Fire officer ,service charge</t>
  </si>
  <si>
    <t>27-05-2025</t>
  </si>
  <si>
    <t>Crystal Art Glass</t>
  </si>
  <si>
    <t>6MM Mirror</t>
  </si>
  <si>
    <t>30-05-2025</t>
  </si>
  <si>
    <t>Sree sai ganesh minerals</t>
  </si>
  <si>
    <t>Pasolite electric co</t>
  </si>
  <si>
    <t>Remaning payment for DR016 LED Driver</t>
  </si>
  <si>
    <t>KLKA2526-06036</t>
  </si>
  <si>
    <t>Kre38 Labs Pvt Ltd</t>
  </si>
  <si>
    <t>Waltr A Monthly Subscription</t>
  </si>
  <si>
    <t>OM Enterprises</t>
  </si>
  <si>
    <t>08/25-26</t>
  </si>
  <si>
    <t>Charges towards clearing Garbage for the Month May 2025</t>
  </si>
  <si>
    <t>50% Advance for Aluminiam Ladder 20FT</t>
  </si>
  <si>
    <t>Flexible spring parking post,Anchor Bolt 4 Inch</t>
  </si>
  <si>
    <t>Remaining payment Supply of conventional fire alaram</t>
  </si>
  <si>
    <t>50% Advance for HIKVISION 2MP BULLET CAMERA,4Port poe switch HIKVISION</t>
  </si>
  <si>
    <t>CCTV Accessories</t>
  </si>
  <si>
    <t>Maintenance of Landscaped Garden for the motnh of May25</t>
  </si>
  <si>
    <t>Eqnamal Paint</t>
  </si>
  <si>
    <t>Painting Materials</t>
  </si>
  <si>
    <t>INV-25-26/0042</t>
  </si>
  <si>
    <t>Pasolite Electric co</t>
  </si>
  <si>
    <t>70% Advance for 15W LED Ora Round Panel CW</t>
  </si>
  <si>
    <t xml:space="preserve">BESCOM- Common Area May </t>
  </si>
  <si>
    <t>BESCOM- Common Area June</t>
  </si>
  <si>
    <t>20/25-26</t>
  </si>
  <si>
    <t>S S Enterprises</t>
  </si>
  <si>
    <t>CEIG Inspection- Remaning payment for Labor charges towards KWH Meter Calibration and current transformers</t>
  </si>
  <si>
    <t>CEIG Inspection</t>
  </si>
  <si>
    <t>CH Civil works-Painting Work, Disilting works and External Wall Repairs-25%</t>
  </si>
  <si>
    <t>Remaning payment for fixing of foam packing for enclouser at STP</t>
  </si>
  <si>
    <t>13-06-2025</t>
  </si>
  <si>
    <t>Sai Suchith pest control</t>
  </si>
  <si>
    <t>Pyndor,Alphacypermethrin,Fogging gas can</t>
  </si>
  <si>
    <t>16-06-2025</t>
  </si>
  <si>
    <t>D.M.&amp; Sons</t>
  </si>
  <si>
    <t>CH Diesel</t>
  </si>
  <si>
    <t>Diesel Purchased</t>
  </si>
  <si>
    <t>Floor cleaner,Fame hand wash liquid,Dettol hand wash,Wheel powder</t>
  </si>
  <si>
    <t>AHS Branding Solutions</t>
  </si>
  <si>
    <t>50% Advance for Signange board repair</t>
  </si>
  <si>
    <t>Signange Board Repair</t>
  </si>
  <si>
    <t>2506/036</t>
  </si>
  <si>
    <t>NP Chem treat engineering co</t>
  </si>
  <si>
    <t>Zetag 8165-AP- STP</t>
  </si>
  <si>
    <t>STP - Consumables</t>
  </si>
  <si>
    <t>Remaining payment for Aluminiam Ladder</t>
  </si>
  <si>
    <t>Stratpro HVACR</t>
  </si>
  <si>
    <t>50% Advance for Genaral servicing of Toshiba cassete indoor-gym AC servicing</t>
  </si>
  <si>
    <t>China doll,Algonrna red,</t>
  </si>
  <si>
    <t>26-06-2025</t>
  </si>
  <si>
    <t>Eranthimum,Himelia,Golden duranta,Ophifogon green</t>
  </si>
  <si>
    <t xml:space="preserve">50% Advance for supply and installation of fine bubble diffusuers and accessories </t>
  </si>
  <si>
    <t>25-06-2025</t>
  </si>
  <si>
    <t>Remaining payment for HKVISION 2MP Bullet Camera,4 Port poe switch HKVISION</t>
  </si>
  <si>
    <t>East wall compound,Gate Landscaping,streetlight,Granite pathway and road work etc</t>
  </si>
  <si>
    <t xml:space="preserve"> </t>
  </si>
  <si>
    <t>CH Civil works-Painting Work, Disilting works and External Wall Repairs</t>
  </si>
  <si>
    <t>MD-186-2025-26</t>
  </si>
  <si>
    <t>Remaning payment for LED Rope Light,LED Rope light cord</t>
  </si>
  <si>
    <t>PTI202526-11950</t>
  </si>
  <si>
    <t>Parivom Technologies Pvt Ltd</t>
  </si>
  <si>
    <t>Automated gate and security solution</t>
  </si>
  <si>
    <t>Park-plus Services</t>
  </si>
  <si>
    <t>Ib and Ub washing points plumbing materials</t>
  </si>
  <si>
    <t>July-2025/0048</t>
  </si>
  <si>
    <t>Sunshine Eco Tech Services</t>
  </si>
  <si>
    <t>Cleaning of Crimson STP Pre Areation Tank</t>
  </si>
  <si>
    <t>INV-25-26/0052</t>
  </si>
  <si>
    <t>Book Keeping Charges</t>
  </si>
  <si>
    <t>INV-25-26/0065</t>
  </si>
  <si>
    <t>Professional Fees All last year's end compliances including Audit for FY 24-25</t>
  </si>
  <si>
    <t>IAC-17/115</t>
  </si>
  <si>
    <t>TP- Link CPE610 Outdoor 23bdi 300Mbps 5ghz</t>
  </si>
  <si>
    <t>14-07-2025</t>
  </si>
  <si>
    <t>50% Advance for 24 Port Poe Switch, CPE610 Wireless Access Point</t>
  </si>
  <si>
    <t>16/25-26</t>
  </si>
  <si>
    <t>Charges towards clearing garbage ,clearing garden waste in the month june 2025</t>
  </si>
  <si>
    <t>16-07-2025</t>
  </si>
  <si>
    <t>SAI SUCHITH PEST CONTROL</t>
  </si>
  <si>
    <t>Pynodor, Alphacypermethrin 10% SC, Deltamethrin Fogging Chemical,Trubble Gum,Burnernet rod,Transportation</t>
  </si>
  <si>
    <t>50% Advance for PHP Grand fose make booster pump motor</t>
  </si>
  <si>
    <t>CCTV AMC Charges for the month june</t>
  </si>
  <si>
    <t>Remaining Payment for supply and installation of fine bubble diffusuers and accessories for SBR and pre aeration tank</t>
  </si>
  <si>
    <t>Gym Equipments for AMC (Aug 1st-July 31st 2026)</t>
  </si>
  <si>
    <t>DOMS Pen blue,red,caution tape(Stationary items)</t>
  </si>
  <si>
    <t>Vivish Technologies</t>
  </si>
  <si>
    <t>Devise service charges</t>
  </si>
  <si>
    <t>Fire officer, Service charge</t>
  </si>
  <si>
    <t>Security Guard,service charge</t>
  </si>
  <si>
    <t>Security officer,security supervisor,Head guard,Security Guard</t>
  </si>
  <si>
    <t>Kre38 Labs Pvt ltd</t>
  </si>
  <si>
    <t>Garbage bag,wet mop refill,mop set,clip,refill24",Bucket10L,PlasticMug,Har broom,mop cloth,web stick,dust pan</t>
  </si>
  <si>
    <t>Led rope light,light cord,Installation Charges,Transport charges,Insulation Tape,PVC Sleeve,Saddle,300mm ble tie</t>
  </si>
  <si>
    <t>Sludge Removing by tankers capacity 4.5KL</t>
  </si>
  <si>
    <t>Water pipe line work flange 2 plate 18*18</t>
  </si>
  <si>
    <t>Charges towards cleaning garbage,garden waste,dabries total 5 loads for the month july</t>
  </si>
  <si>
    <t>Remaning Payment for Annual Maintenance Contract charges for 1*160, 3*500, 2*600, 2*650 KVA Cummins set</t>
  </si>
  <si>
    <t>AMC for DGs</t>
  </si>
  <si>
    <t xml:space="preserve">Remaning Payment forAir Filter element coolant 5ltr,Injector leak off pipe, fuel hose pipe, hose clamps, Gasket Champion </t>
  </si>
  <si>
    <t>Remaning Payment for Kirloskar lub oil20ltr, lub oil filter, fuel filter kit, hose clamps, LLOP Switch, LOP Adopter, consumeables</t>
  </si>
  <si>
    <t>Payment forAuxillary Contractor, 800SD timer, SI197 16A/30 on off rotary switch, freight charges</t>
  </si>
  <si>
    <t>Remaning Payment forAnnual Maintenance Contract half yearly charges for DG sync panel 1*160, 3*500, 2*600, 2*650 KVA</t>
  </si>
  <si>
    <t xml:space="preserve">Kreyativ works </t>
  </si>
  <si>
    <t>Reflective Vinyl with standee</t>
  </si>
  <si>
    <t>Remaining Payment for 24 Port Poe Switch, CPE610 Wireless Access Point</t>
  </si>
  <si>
    <t>CCTV AMC charges for the month July 2025</t>
  </si>
  <si>
    <t xml:space="preserve">Pynodor, Alphacypermethrin 10% SC, Fogging gas can coil, Burnernet with rod, Trasportaton </t>
  </si>
  <si>
    <t>3 S VENT TECH</t>
  </si>
  <si>
    <t>60% Payment for  Manufaturing, Supply,and Installation of 3S STP+K370 Air Ventelation System</t>
  </si>
  <si>
    <t>STP- Fresh Air and Exhaust System Set</t>
  </si>
  <si>
    <t>Abu Taleb</t>
  </si>
  <si>
    <t xml:space="preserve">Club house boxing room mirror fixing, old glass removed and dispatched </t>
  </si>
  <si>
    <t>Maintenance of Landscaped Garden for the month of June25</t>
  </si>
  <si>
    <t>Anagha Enterprises</t>
  </si>
  <si>
    <t>Sodium hypochlorite 12%, PH Test kit, Handgloves rubber, blower oil 320, cotton waste, pump oil, mask,blower belt</t>
  </si>
  <si>
    <t>TCCA 90%, Copper sulphate, PH Refill, Alum Gel</t>
  </si>
  <si>
    <t>BESCOM- Common Area July</t>
  </si>
  <si>
    <t>10HP lubei make monoblock pump motor,SHP DAB make monoblock pump motor</t>
  </si>
  <si>
    <t>Motor Purchase</t>
  </si>
  <si>
    <t>Rohit Associates</t>
  </si>
  <si>
    <t>Supply of 40A, 1p 230V anal;og energy bmeter, Make: CONA, Supply of 3C x 10sq mm copper armored cable polycab</t>
  </si>
  <si>
    <t>Advance Payment for Floculation tank with agitator, Dewatering screw,flush water, poly dosing system,</t>
  </si>
  <si>
    <t>Remaining payment for clubhouse terrace and swimming pool water work</t>
  </si>
  <si>
    <t>50% payment for chipping and removal of tiles &amp; stacking debts</t>
  </si>
  <si>
    <t>Ankya Advisors LLP</t>
  </si>
  <si>
    <t>Monthly Retainership Charges For Manpower Support, Professional Fee for August 25</t>
  </si>
  <si>
    <t>6 Qmm 4 cour coffar</t>
  </si>
  <si>
    <t>Maintenance of Landscaped Garden for the month of July25</t>
  </si>
  <si>
    <t>Print IT solutions</t>
  </si>
  <si>
    <t>Brother DCP-B7500D Printer CCD unit &amp; Printer Service Charge</t>
  </si>
  <si>
    <t xml:space="preserve">Leesha Packing Solutions </t>
  </si>
  <si>
    <t>EVA Interlock Mats</t>
  </si>
  <si>
    <t>CCTV AMC charges for the month August 2025</t>
  </si>
  <si>
    <t>Payment for Retention amount 5% on RWH civil abd work as per the annexure, RWH additional civil work</t>
  </si>
  <si>
    <t>Aura</t>
  </si>
  <si>
    <t>50% Advance Payment for badminton lights</t>
  </si>
  <si>
    <t>60% Advance Payment for Manufacturing , supply,and installation of 3S STP acopustic panel for amber block</t>
  </si>
  <si>
    <t>STP-Acopustic Panel for Amber Block</t>
  </si>
  <si>
    <t>Charges towards cleaning garbage,garden waste,dabries total 5 loads for the month Aug</t>
  </si>
  <si>
    <t>Charges towards Dry garbage Bags</t>
  </si>
  <si>
    <t>Boundary Masters</t>
  </si>
  <si>
    <t>Advance 50% Payment For, For On Pre-cast Wall MS Angle with Razor wire &amp; coil</t>
  </si>
  <si>
    <t xml:space="preserve">Fencing of walls </t>
  </si>
  <si>
    <t>Advance 50% Payment For, Besides sports Area MS Angle with Razor wire &amp; coil</t>
  </si>
  <si>
    <t>Advance 50% Payment For, Crimson Pet Area MS Angle with Razor wire &amp; coil</t>
  </si>
  <si>
    <t>Advance 50% Payment For, East Gate Multipurpose Gate MS Angle with Razor wire &amp; coil</t>
  </si>
  <si>
    <t>Advance 50% Payment For, East Gate-South Gate MS Angle with Razor wire &amp; coil</t>
  </si>
  <si>
    <t xml:space="preserve">50% Advance,Demolition of existing cement bricks wall, including cutting, breaking, removal of debris from site </t>
  </si>
  <si>
    <t>Neon Enterprises</t>
  </si>
  <si>
    <t>House keeping Materials</t>
  </si>
  <si>
    <t>Monthly Retainership Charges For Manpower Support, Professional Fee for September 25</t>
  </si>
  <si>
    <t>EME TECH</t>
  </si>
  <si>
    <t>Installation of 5+5mm Saint Gobain Glass</t>
  </si>
  <si>
    <t>459mm*3 wires, 15AMP screws,6 box 3m, 6 ply</t>
  </si>
  <si>
    <t>90mm frge, 1*6 bolt 12sets, 90mm rubber hastes-6Nos,80mm buttre valve-3nos, pvc 2nos</t>
  </si>
  <si>
    <t>BIKASH</t>
  </si>
  <si>
    <t>Core cutting Charges</t>
  </si>
  <si>
    <t>Treadmill- New running Belt, new deck/bed, new front and back roller bearing and latetr work</t>
  </si>
  <si>
    <t>washbasin, pillarlock, angle, tape,pvc pipe,rock boy,show,screw</t>
  </si>
  <si>
    <t>Box file, stapler,stapler pin,gluestick,red pen, blue pen,notebook,register, brown tape, note pad, mouse pad, cartrage</t>
  </si>
  <si>
    <t>MS Traders</t>
  </si>
  <si>
    <t>8" PVC Pipe6kg,pvc collar,pvc shou,pvc elbow,solvent maruthi,wall catter,haska bled</t>
  </si>
  <si>
    <t>10A Led strip light driver,Led Module</t>
  </si>
  <si>
    <t xml:space="preserve">Remaining Payment for Demolition of existing cement bricks wall,including cutting, breaking, removal of debris from site </t>
  </si>
  <si>
    <t>Remaining Payment for Aqua 120 40W Badminton lIghts</t>
  </si>
  <si>
    <t>Supply of flow switch, ms collar, remove and fixing of flow switch</t>
  </si>
  <si>
    <t>Infusion Point Café</t>
  </si>
  <si>
    <t>Tea Coffe &amp; Snacks for  15th Aug &amp; MC meetings</t>
  </si>
  <si>
    <t xml:space="preserve">Miscellaneous </t>
  </si>
  <si>
    <t>Print IT Solutions</t>
  </si>
  <si>
    <t>1 TB sata SSD EVM</t>
  </si>
  <si>
    <t>Operation &amp; Maintenance Charges for the month Aug</t>
  </si>
  <si>
    <t>BESCOM- Common Area August</t>
  </si>
  <si>
    <t>PI2534</t>
  </si>
  <si>
    <t>50% Advance, All tower glass windows cleaning, skydeck,clubhouse,lobbyclubhouse highglass inside</t>
  </si>
  <si>
    <t>Facade Cleaning</t>
  </si>
  <si>
    <t>20 oms switch,socket,box</t>
  </si>
  <si>
    <t>Pooja Electricals &amp;Light House</t>
  </si>
  <si>
    <t>silkwire,connector,</t>
  </si>
  <si>
    <t>Abu Fabrications</t>
  </si>
  <si>
    <t>G block ground floor broken glass</t>
  </si>
  <si>
    <t>Glass Repair &amp; Maint</t>
  </si>
  <si>
    <t>30% Advance Payment for,Manufacturing , supply,and installation of 3S STP acopustic panel for amber block</t>
  </si>
  <si>
    <t>19/25-26</t>
  </si>
  <si>
    <t>30% Advance Payment for,Manufaturing, Supply,and Installation of 3S STP+K370 Air Ventelation System</t>
  </si>
  <si>
    <t>QTN/YVT/1135/2025-26</t>
  </si>
  <si>
    <t>Yash Vacuum Technology</t>
  </si>
  <si>
    <t>80% Advance Payment,Bearing24 nos,oil seal30nos, oil seal bush24nos, piston bush24nos, piston ring72nos, gasket12nos,</t>
  </si>
  <si>
    <t xml:space="preserve">STP Blower Repairs </t>
  </si>
  <si>
    <t>Remaining Paymnet for,Floculation tank with agitator, Dewatering screw,flush water, poly dosing system</t>
  </si>
  <si>
    <t>Screw Press Machine for STP-Amber</t>
  </si>
  <si>
    <t>VS4-2025-26/693</t>
  </si>
  <si>
    <t>VS4-2025-26/694</t>
  </si>
  <si>
    <t>VS4-2025-26/695</t>
  </si>
  <si>
    <t>Aqua Pure Technology</t>
  </si>
  <si>
    <t>250 Lph Ro Plant and SS Tank 250 Ltrs and other accessories</t>
  </si>
  <si>
    <t>RO-Water Plant</t>
  </si>
  <si>
    <t>IAC-17/249</t>
  </si>
  <si>
    <t>Fiber Cable, Fiber Media Convertor, Fiber Splicing Charger</t>
  </si>
  <si>
    <t>Maintenance of Landscaped Garden for the month of August</t>
  </si>
  <si>
    <t>44/25-26</t>
  </si>
  <si>
    <t>Charges towards clearing garbage, dabries</t>
  </si>
  <si>
    <t>QUOTATION</t>
  </si>
  <si>
    <t>HR Constructions</t>
  </si>
  <si>
    <t>50% Advance Payment for, granite flooring work Black colour</t>
  </si>
  <si>
    <t>Common Area (Vendor Refunded)</t>
  </si>
  <si>
    <t>50% Advance Payment for, granite flooring work Red colour</t>
  </si>
  <si>
    <t>Removing of Existing damaged granite incl removing of mortar, cleaning and shifting of debries etc</t>
  </si>
  <si>
    <t>Sri Chandrashekar Enterprises</t>
  </si>
  <si>
    <t>DAP, Uriya, Bella</t>
  </si>
  <si>
    <t>STP &amp; WTP Consumeables</t>
  </si>
  <si>
    <t>N. Ravindra</t>
  </si>
  <si>
    <t>Supply of Tanker Water September</t>
  </si>
  <si>
    <t>Supply of Water Tanker</t>
  </si>
  <si>
    <t>K25-143</t>
  </si>
  <si>
    <t>20HP ABB Make Induction Blower Motor</t>
  </si>
  <si>
    <t xml:space="preserve">Motor Purchase </t>
  </si>
  <si>
    <t>Plumbing Items</t>
  </si>
  <si>
    <t>Pest Control Materials</t>
  </si>
  <si>
    <t>New Carrom Board Set</t>
  </si>
  <si>
    <t>Carrom Board Set</t>
  </si>
  <si>
    <t>T Tape,E Tape</t>
  </si>
  <si>
    <t>Mesh,and other items</t>
  </si>
  <si>
    <t>0012/2025-2026</t>
  </si>
  <si>
    <t>Rachuu Smart Facility Services</t>
  </si>
  <si>
    <t>Bar screen chamber,Sand fitter pipe line</t>
  </si>
  <si>
    <t>S.V Power Tek Systems</t>
  </si>
  <si>
    <t>50% Advance Payment Supply of exide cloraide SMF Battery ,Leoch SMF Battery</t>
  </si>
  <si>
    <t>081/25-26</t>
  </si>
  <si>
    <t>Cleaning of base surface scraping,removing of rust</t>
  </si>
  <si>
    <t>Water Tank Cleaning</t>
  </si>
  <si>
    <t>Clubhouse staircase safety glass fitting</t>
  </si>
  <si>
    <t>QTT/25-26/172</t>
  </si>
  <si>
    <t>15W Led Ora Round Panel WW</t>
  </si>
  <si>
    <t>AG/0779/25-26</t>
  </si>
  <si>
    <t>Asianet Groups</t>
  </si>
  <si>
    <t>Under Ground Sump and Overhead Tank Cleaning Services</t>
  </si>
  <si>
    <t>STP Tank Cleaning</t>
  </si>
  <si>
    <t>QTT/25-26/180</t>
  </si>
  <si>
    <t>3mtr Galileo pole Light, 70w LED elvis head Grey WW,12wLED grill foot Light WW</t>
  </si>
  <si>
    <t>Floor cleaner,sanitizer,wheel powder, caustic soda,glasswiper,scoach bright,dust pan,gumboot,garbage bag</t>
  </si>
  <si>
    <t>BESCOM- Common Area September</t>
  </si>
  <si>
    <t xml:space="preserve">Bank Charges </t>
  </si>
  <si>
    <t>Operation &amp; Maintenance Charges for the month Sept</t>
  </si>
  <si>
    <t>AHS/2025-26/975</t>
  </si>
  <si>
    <t>Remaining Payment for Signange board repair</t>
  </si>
  <si>
    <t>16/4 core cable alluminium,63/4 poll MCB box spn, 16.0sqmm copper Lux</t>
  </si>
  <si>
    <t>2.5aqmm wire havells reo, 20mmPvc pipe,20mmalbo black,20mmpvc J box,mcb box metal</t>
  </si>
  <si>
    <t>Pynodor,alphacypermrthrin10%,fogging gas can 220gm, rodent cake bnromadiolone,deltametherin fogging chemical</t>
  </si>
  <si>
    <t>INV-32</t>
  </si>
  <si>
    <t>Remaining Payment For On Pre-cast Wall MS Angle with Razor wire &amp; coil</t>
  </si>
  <si>
    <t>INV-31</t>
  </si>
  <si>
    <t>Remaining Payment For, Besides sports Area MS Angle with Razor wire &amp; coil</t>
  </si>
  <si>
    <t>INV-33</t>
  </si>
  <si>
    <t>Remaining Payment For, Crimson Pet Area MS Angle with Razor wire &amp; coil</t>
  </si>
  <si>
    <t>INV-30</t>
  </si>
  <si>
    <t>Remaining Payment For, East Gate Multipurpose Gate MS Angle with Razor wire &amp; coil</t>
  </si>
  <si>
    <t>INV-29</t>
  </si>
  <si>
    <t>Remaining Payment For, East Gate-South Gate MS Angle with Razor wire &amp; coil</t>
  </si>
  <si>
    <t>INV-35</t>
  </si>
  <si>
    <t>Extra work at MS Gates</t>
  </si>
  <si>
    <t>SVS/25-26/0216</t>
  </si>
  <si>
    <t>SVS 3D Pool Services</t>
  </si>
  <si>
    <t>Swimming Pool Maintenance</t>
  </si>
  <si>
    <t>Swimming Pool Maintainance</t>
  </si>
  <si>
    <t>IAC-17/234</t>
  </si>
  <si>
    <t>CCTV AMC</t>
  </si>
  <si>
    <t>VR/OCT25-26/0875</t>
  </si>
  <si>
    <t>Management Fee</t>
  </si>
  <si>
    <t>090/25-26</t>
  </si>
  <si>
    <t>Charges for soil digging and refilling.</t>
  </si>
  <si>
    <t>Misc.Garden Maintenance</t>
  </si>
  <si>
    <t>110mm pvc coller, head set, pipe etc.</t>
  </si>
  <si>
    <t>20Lts water can</t>
  </si>
  <si>
    <t>Brother Ink Cartrage, Natraj pen blue, jk sparkle, correction pen, doms pen blue, box file , white board marker</t>
  </si>
  <si>
    <t>15 feet long pipe</t>
  </si>
  <si>
    <t>3/4 box, 3/4 clip,pvc</t>
  </si>
  <si>
    <t>KLKA2526-10052</t>
  </si>
  <si>
    <t>22/25-26</t>
  </si>
  <si>
    <t>Extra Work for Exhaust System for STP plant</t>
  </si>
  <si>
    <t>STP- Exhaust System Purchase</t>
  </si>
  <si>
    <t>Manufacturing, Supply and Installation of 3S STP Air Ventilation System for Blue Block</t>
  </si>
  <si>
    <t>STP- Blue Block Ventillation System</t>
  </si>
  <si>
    <t>50pc pipe, collar, pipe, 12 screw</t>
  </si>
  <si>
    <t>surya pop, water pipe,</t>
  </si>
  <si>
    <t>Remaining 10 % Payment for,Manufaturing, Supply,and Installation of 3S STP+K370 Air Ventelation System</t>
  </si>
  <si>
    <t>AG/0859/25-26</t>
  </si>
  <si>
    <t>Revamping Of STP Tanks</t>
  </si>
  <si>
    <t>AG/0858/25-26</t>
  </si>
  <si>
    <t>STP Tanks Cleaning, Liquid sludge removal and manual mud removal</t>
  </si>
  <si>
    <t>K25-162</t>
  </si>
  <si>
    <t>MS casing pipe, collar</t>
  </si>
  <si>
    <t>K25-161</t>
  </si>
  <si>
    <t>7.5 HP 75 Stage borewell pump motor</t>
  </si>
  <si>
    <t>50%Advance Payment for, 50mm black granite</t>
  </si>
  <si>
    <t>CH-Granite Purchase</t>
  </si>
  <si>
    <t>50%Advance Payment for,50mm red granite</t>
  </si>
  <si>
    <t>50%Advance Payment for, black granite 25 sqft, red granite 25sqft</t>
  </si>
  <si>
    <t>3mm Tape, Cable, Plumbing necessaries for RO</t>
  </si>
  <si>
    <t>40stand silkwire, Taparia screw driver, Taparia cutting Plyer Tep roll</t>
  </si>
  <si>
    <t>Sri Sai Enterprises</t>
  </si>
  <si>
    <t>16x4core armored aluminium cable,6x4 armored copper cable, 100 amps 4 pole MCCB, 63AMPS 4 POLE MCB</t>
  </si>
  <si>
    <t>PTI202526-22376</t>
  </si>
  <si>
    <t>Park+ Services</t>
  </si>
  <si>
    <t>IAC-17/258</t>
  </si>
  <si>
    <t>Digisol cat6 cable 305 mtrs</t>
  </si>
  <si>
    <t>50% Advance Payment for 1M3/hr Multi Disc Screw press model, pump with 1 HP Motor, agiator with gear box</t>
  </si>
  <si>
    <t>Screw Press Machine for STP-Crimson</t>
  </si>
  <si>
    <t>ATEE ENTERPRISES</t>
  </si>
  <si>
    <t>Advance Payment for Squash Court wall Chipping and repair</t>
  </si>
  <si>
    <t>Squash Court Repair</t>
  </si>
  <si>
    <t>23/25-26</t>
  </si>
  <si>
    <t>Timer Fixing Charges for STP Ventilation System</t>
  </si>
  <si>
    <t>Ridhi Sidhi Hardware &amp; Electricals</t>
  </si>
  <si>
    <t>Painting of Parking Area</t>
  </si>
  <si>
    <t>QTT/25-26/200</t>
  </si>
  <si>
    <t>200W LED Sipro Flood Light + Lens WW</t>
  </si>
  <si>
    <t>74/2025-26</t>
  </si>
  <si>
    <t>Remaing 50% Payment for, 50mm black granite</t>
  </si>
  <si>
    <t>75/2025-26</t>
  </si>
  <si>
    <t>Remaing 50% Payment for, 50mm Red granite</t>
  </si>
  <si>
    <t>76/2025-26</t>
  </si>
  <si>
    <t>Remaing 50% Payment for, black granite 25 sqft, red granite 25sqft</t>
  </si>
  <si>
    <t>KR/O/2505545</t>
  </si>
  <si>
    <t xml:space="preserve">Maintenance charges for the lift-Oct to March2026 (Amber)
</t>
  </si>
  <si>
    <t>KR/O/2505544</t>
  </si>
  <si>
    <t xml:space="preserve">Maintenance charges for the lift-Oct to March2026 (Crimson)
</t>
  </si>
  <si>
    <t>KR/O/2505525</t>
  </si>
  <si>
    <t>KR/O/2505526</t>
  </si>
  <si>
    <t xml:space="preserve">Maintenance charges for the lift-Oct to March2026 (Blue)
</t>
  </si>
  <si>
    <t>PE/25-26/5115</t>
  </si>
  <si>
    <t xml:space="preserve">9W LED Under Water Light RGB, Foundation Set.	
</t>
  </si>
  <si>
    <t>PE/25-26/5073</t>
  </si>
  <si>
    <t>40W, 40v 1000MA Driver, 10MM X595MM dAYLEhANGING PCB,50W LED Clean room cw 1*4,9W LED Under Water Light RGB</t>
  </si>
  <si>
    <t>PE/25-26/5065</t>
  </si>
  <si>
    <t>200W led Sipro flood light + lens Cw</t>
  </si>
  <si>
    <t>Paint Materials</t>
  </si>
  <si>
    <t>53/25-26</t>
  </si>
  <si>
    <t>SLPS2025-26-177</t>
  </si>
  <si>
    <t>VDS LUB OIL , Long Llife oil filter fuel filter, filter insert, coolant5ltr,valvoline lub oil, consumables, fuel water seprater</t>
  </si>
  <si>
    <t>6/2025-2026</t>
  </si>
  <si>
    <t>20% Payment for, cleaning surface by patty blade and emery paper</t>
  </si>
  <si>
    <t>VSC, Civil, Painting &amp; Waterproofing Works</t>
  </si>
  <si>
    <t>SI/25-26/201912</t>
  </si>
  <si>
    <t>Neri</t>
  </si>
  <si>
    <t>100w External driver</t>
  </si>
  <si>
    <t>Painting materials</t>
  </si>
  <si>
    <t>SVS/25-26/0251</t>
  </si>
  <si>
    <t>SVS-3D-Swimming Pool Manit</t>
  </si>
  <si>
    <t>water proofing Liquid 5ltr</t>
  </si>
  <si>
    <t>painting Materials</t>
  </si>
  <si>
    <t>20mm Hbit,3/4 blave pipe</t>
  </si>
  <si>
    <t>20L water Can</t>
  </si>
  <si>
    <t>44 pvchbov, 4pvc collargun 118we</t>
  </si>
  <si>
    <t>Remaining 20%Payment for,Bearing24 nos,oil seal30nos, oil seal bush24nos, piston bush24nos, piston ring72nos, gasket12nos,</t>
  </si>
  <si>
    <t>AMH Services</t>
  </si>
  <si>
    <t>Toshiba VRF outdoor unit jet service, Refrigerant gas service, cassette AC Indoor Unit Service</t>
  </si>
  <si>
    <t>IAC-17/269</t>
  </si>
  <si>
    <t>CCTV AMC Charges for the Month of OCT 2025</t>
  </si>
  <si>
    <t>Civil work Materials</t>
  </si>
  <si>
    <t>Misc. Civil Works</t>
  </si>
  <si>
    <t>Mess (net)Pigeow</t>
  </si>
  <si>
    <t>60% Advance Payment for, Manufacturing, Supply &amp; Installation of south gate front C chanel drainage railing work</t>
  </si>
  <si>
    <t>South Gate Drainage Railing work</t>
  </si>
  <si>
    <t>Gardening &amp; Landscaping Materials</t>
  </si>
  <si>
    <t>VS4-2025-26/771</t>
  </si>
  <si>
    <t>Security officer,security supervisor,Head guard,Security Guard, Lady guard, cctv operator, service charge</t>
  </si>
  <si>
    <t>VS4-2025-26/773</t>
  </si>
  <si>
    <t>Fire Officer &amp; Service Charge for the month october</t>
  </si>
  <si>
    <t>VS4-2025-26/772</t>
  </si>
  <si>
    <t>Security Guard &amp; service charge for the month october</t>
  </si>
  <si>
    <t>IV2518</t>
  </si>
  <si>
    <t>Strip Light Removing inside Amber, Blue, &amp; Crimson Block</t>
  </si>
  <si>
    <t>Strip Light Removal</t>
  </si>
  <si>
    <t>SV5355/25-26</t>
  </si>
  <si>
    <t>Remaining Payment for, exide Smf battery cs7-12v</t>
  </si>
  <si>
    <t>SV5858/25-26</t>
  </si>
  <si>
    <t>Remaining Payment for, LP12-5.4 Lift Battery</t>
  </si>
  <si>
    <t>TH/2025-26/1889</t>
  </si>
  <si>
    <t>Trident Holdings</t>
  </si>
  <si>
    <t>USG Perimeter chnnel ST50</t>
  </si>
  <si>
    <t>TH/2025-26/1888</t>
  </si>
  <si>
    <t>Armgyp Gypsum Dew Drops 2*2, Armstrong Wall Angle-10'</t>
  </si>
  <si>
    <t>Red Soil</t>
  </si>
  <si>
    <t>Vishwakarma Engeering</t>
  </si>
  <si>
    <t>MS samp welding, with Material</t>
  </si>
  <si>
    <t>Mild Steel (MS) Welding for Pole Lights</t>
  </si>
  <si>
    <t>Arrow Interiors</t>
  </si>
  <si>
    <t>Execution of Interior work</t>
  </si>
  <si>
    <t>Cutter, 4" weel, 16mm Luf, 1pvc collor, 1 pvc fmt</t>
  </si>
  <si>
    <t>2.5sqmm 3 core copper cable polycab, 3/4inch Pvc pipe heavy black,pvc bend, pvc coller</t>
  </si>
  <si>
    <t>TH/2025-26/1884</t>
  </si>
  <si>
    <t>USG boral Gypsum board, screw-25mm, Joint Tape Roll, Pop bags</t>
  </si>
  <si>
    <t>SriGaneshAutoElectrical&amp;BatteryWorks</t>
  </si>
  <si>
    <t>50% Advance Payment for, Purchasing Exide Battery &amp; Exide UPS &amp; Battery</t>
  </si>
  <si>
    <t>Operation &amp; Maintenance Charges for the month october 2025</t>
  </si>
  <si>
    <t>3" Butterfly valve, vrv valve , nut bolt</t>
  </si>
  <si>
    <t>0085/2025/26</t>
  </si>
  <si>
    <t>Supply of PH test Kit, supply of chlorine, rubber &amp; hand gloves hand wash, blower oil 320, pump oil, cotton waste</t>
  </si>
  <si>
    <t>KLKA2526-11015</t>
  </si>
  <si>
    <t>Maintenance of Landscaped Garden for the month of Sept25</t>
  </si>
  <si>
    <t>Vishal Infotech</t>
  </si>
  <si>
    <t>TVS Label printer LP 46 Neo,Laser Scanner,HS-65 HHT device</t>
  </si>
  <si>
    <t>Label Printer</t>
  </si>
  <si>
    <t>Maintenance of Landscaped Garden for the month of Oct25</t>
  </si>
  <si>
    <t>VR/NOV25-26/1054</t>
  </si>
  <si>
    <t>Temporary Mason</t>
  </si>
  <si>
    <t>Monthly Retainership Charges For Manpower Support, Professional Fee for October 25</t>
  </si>
  <si>
    <t>Supply and installation of GI pipe, forged fitting,accessories (Hose Clamp, Nut Bolts, Gasket)</t>
  </si>
  <si>
    <t>STP-Plumbing Items</t>
  </si>
  <si>
    <t>Supply of 80mm Butterfly val`ve with Accessories &amp; Installation of the same</t>
  </si>
  <si>
    <t>AMBER BLOCK &amp; BLUE BLOCK Purchase of Butterfly valve, air pressure gauge, NRV, saftey Valve</t>
  </si>
  <si>
    <t>STP-Butterfly valve with Accessories</t>
  </si>
  <si>
    <t>Purchase of Gear wheel &amp; Blower Pulley for Amber &amp; Blue Block</t>
  </si>
  <si>
    <t>STP-Gear wheel &amp; Blower Pulley</t>
  </si>
  <si>
    <t>Remaining Payment for, Purchasing Exide Battery &amp; Exide UPS &amp; Battery, Drive 180R, MGST 1000</t>
  </si>
  <si>
    <t>Treadmill-Roller new bearing, incline motor repairing,hyper extension bench</t>
  </si>
  <si>
    <t>Treadmill Repairs</t>
  </si>
  <si>
    <t>Imported hex dumbeels 10kg,12.5kg,15kg, Imported multi bench hercules</t>
  </si>
  <si>
    <t>Dumbells for Gym</t>
  </si>
  <si>
    <t>PE/25-26/5394</t>
  </si>
  <si>
    <t>3Mtr Galileo pole light, 70w LED Elvis Head grey WW</t>
  </si>
  <si>
    <t>IV2519</t>
  </si>
  <si>
    <t>Remaining Payment for All Tower Glass window Cleaning, Clubhouse, Lobby, clubhouse highglass inside</t>
  </si>
  <si>
    <t>Ganesh Enterprises</t>
  </si>
  <si>
    <t>Advance 50% Payment for Steel supply and Barbending work</t>
  </si>
  <si>
    <t>Cemented Road Work - Near West Gate</t>
  </si>
  <si>
    <t>Advance 50% Supply of Ready Mix M-25 Grade Concrete For Road Work</t>
  </si>
  <si>
    <t>Advance 50% Labour Charge and Finish Grove Cutting Charge</t>
  </si>
  <si>
    <t>BESCOM- Common Area October</t>
  </si>
  <si>
    <t>Santosh Kumar IS</t>
  </si>
  <si>
    <t>Tipper Load red soil Supply</t>
  </si>
  <si>
    <t>Nehal Enterprises</t>
  </si>
  <si>
    <t>Supply of Industrial 4way box 3 sockets &amp; MCB Cutout, Industrial socket single phase 16 amps, 32 Amps Pole MCB</t>
  </si>
  <si>
    <t>27/25-26</t>
  </si>
  <si>
    <t>Remaining 40% Payment for South Gate Drainage Railing work</t>
  </si>
  <si>
    <t>Pynodor,alphacypermrthrin 10%, fogging gas can 220gm, rodent cake bnromadiolone, deltametherin fogging chemical</t>
  </si>
  <si>
    <t>250mm Exhaust Fan Crompton</t>
  </si>
  <si>
    <t>Tractore Load Manure Supply</t>
  </si>
  <si>
    <t>28/25-26</t>
  </si>
  <si>
    <t>Advance 30% Payment, Manufacturing, Supply and Installation of 3S STP Air Ventilation System for Blue Block</t>
  </si>
  <si>
    <t>TOYS &amp; SPORTS</t>
  </si>
  <si>
    <t>FRP Board with ring &amp; net, Transportation &amp; fitting Charges</t>
  </si>
  <si>
    <t>Basketball Court Net &amp; Ring</t>
  </si>
  <si>
    <t>Purchase of House Keeping Materials</t>
  </si>
  <si>
    <t>NE/3389</t>
  </si>
  <si>
    <t>National Electricals</t>
  </si>
  <si>
    <t>15w Led fazer Neo- Havells</t>
  </si>
  <si>
    <t>VS4-2025-26/889</t>
  </si>
  <si>
    <t>Security officer,security supervisor,Head guard,Security Guard, Lady Security guard, cctv operator, service charge</t>
  </si>
  <si>
    <t>VS4-2025-26/891</t>
  </si>
  <si>
    <t>VS4-2025-26/890</t>
  </si>
  <si>
    <t>2 1/2, Butterfly Valve</t>
  </si>
  <si>
    <t>VR/NOV25-26/1155</t>
  </si>
  <si>
    <t>SVS/25-26/0284</t>
  </si>
  <si>
    <t>62/25-26</t>
  </si>
  <si>
    <t>Charges towards Cleaning Garbage for the month November2025</t>
  </si>
  <si>
    <t>Monthly Retainership Charges For Manpower Support, Professional Fee for November 25</t>
  </si>
  <si>
    <t>25-26/CR14299</t>
  </si>
  <si>
    <t>Balance GST Payment for the Purchase of TVS Label Printer, Laser Scanner, HHT Device</t>
  </si>
  <si>
    <t xml:space="preserve">Screw Press System for Crimson </t>
  </si>
  <si>
    <t>Operation and Maintenance Charges for the Month November2025</t>
  </si>
  <si>
    <t>KLKA2526-12018</t>
  </si>
  <si>
    <t>Push Button for Barrier</t>
  </si>
  <si>
    <t>Madeena Nursery</t>
  </si>
  <si>
    <t>Purchase of Lemonia Plants for Amber Block</t>
  </si>
  <si>
    <t xml:space="preserve">Purchase of Plants </t>
  </si>
  <si>
    <t>Remaining 50% Payment for Steel supply and Barbending work</t>
  </si>
  <si>
    <t xml:space="preserve">Remaining 50% Supply of Ready Mix M-25 Grade Concrete For Road Work </t>
  </si>
  <si>
    <t>Remaining 50% Labour Charge and Finish Grove Cutting Charge</t>
  </si>
  <si>
    <t>VR/MAY25-26/0144</t>
  </si>
  <si>
    <t>Management Fee for the Month April</t>
  </si>
  <si>
    <t>INV/25-26/038</t>
  </si>
  <si>
    <t>Neo Goal Vault Fintech PVT LTD</t>
  </si>
  <si>
    <t xml:space="preserve">Advance Payment for zoho implementation&amp;Training&amp;Support </t>
  </si>
  <si>
    <t xml:space="preserve">Subscription for Zoho - Inventory </t>
  </si>
  <si>
    <t>Maintenance of Landscaped Garden for the month of Nov25</t>
  </si>
  <si>
    <t>IAC-17/315</t>
  </si>
  <si>
    <t>CCTV AMC Charges for the month Nov25</t>
  </si>
  <si>
    <t>Advance Payment for squash Court wall chipping and repair</t>
  </si>
  <si>
    <t>SLVP</t>
  </si>
  <si>
    <t>Tipper Load Red soil Supply, Tractore Load Manure Supply</t>
  </si>
  <si>
    <t>IAC-17/262</t>
  </si>
  <si>
    <t>Cable laying Charges, 19mmPVC Black wall Pipes, Accessroies</t>
  </si>
  <si>
    <t>Painting materials for STP</t>
  </si>
  <si>
    <t>SLV BATTERY POINT</t>
  </si>
  <si>
    <t xml:space="preserve">Exide Battrey for UPS 50% Payment </t>
  </si>
  <si>
    <t>S Rani</t>
  </si>
  <si>
    <t>Milk Charges for the month October</t>
  </si>
  <si>
    <t>Purchase Of Milk</t>
  </si>
  <si>
    <t>Krupa Tiles Links LLP</t>
  </si>
  <si>
    <t>VIVE SC LAV FAUCET WO DRAIN (Tap QTY 3)</t>
  </si>
  <si>
    <t>Purchase of Tap</t>
  </si>
  <si>
    <t>PIPE ROLL FOR CIVIL WORK</t>
  </si>
  <si>
    <t>AE/065/25-26</t>
  </si>
  <si>
    <t>Remaining Payment for squash Court wall chipping and repair</t>
  </si>
  <si>
    <t>Milk Charges for the month November</t>
  </si>
  <si>
    <t>IAC-17/349</t>
  </si>
  <si>
    <t>Purchase of TP-Link CPE610 Outdoor 23bdi</t>
  </si>
  <si>
    <t>Bhavani Hardware</t>
  </si>
  <si>
    <t>15cm Upin  Equipment</t>
  </si>
  <si>
    <t>Purchase of Upin for Pet Area</t>
  </si>
  <si>
    <t>Gunjal Trupti( Tenant)</t>
  </si>
  <si>
    <t>REFUND of Rent</t>
  </si>
  <si>
    <t xml:space="preserve">Rent Refund </t>
  </si>
  <si>
    <t xml:space="preserve">Electricals Items </t>
  </si>
  <si>
    <t xml:space="preserve">Purchase of M Sand </t>
  </si>
  <si>
    <t>Purchase of M Sand</t>
  </si>
  <si>
    <t xml:space="preserve">Balance GST Amount TAP Purchase </t>
  </si>
  <si>
    <t>BESCOM- Common Area November</t>
  </si>
  <si>
    <t>Amount</t>
  </si>
  <si>
    <t>Q3</t>
  </si>
  <si>
    <t>Finance &amp; Accounts</t>
  </si>
  <si>
    <t>Q1</t>
  </si>
  <si>
    <t>Q2</t>
  </si>
  <si>
    <t>Q4</t>
  </si>
  <si>
    <t>Total Expense Paid</t>
  </si>
  <si>
    <t>Classification</t>
  </si>
  <si>
    <t>Invoice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</si>
</sst>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#,##0.0"/>
    <numFmt numFmtId="166" formatCode="_ * #,##0.0_ ;_ * \-#,##0.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0"/>
      <color indexed="72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/>
    </xf>
    <xf numFmtId="15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wrapText="1"/>
    </xf>
    <xf numFmtId="164" fontId="3" fillId="3" borderId="5" xfId="1" applyNumberFormat="1" applyFont="1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left" wrapText="1"/>
    </xf>
    <xf numFmtId="164" fontId="3" fillId="3" borderId="5" xfId="0" applyNumberFormat="1" applyFont="1" applyFill="1" applyBorder="1"/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 wrapText="1"/>
    </xf>
    <xf numFmtId="17" fontId="5" fillId="3" borderId="6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left"/>
    </xf>
    <xf numFmtId="15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3" fillId="3" borderId="5" xfId="0" applyFont="1" applyFill="1" applyBorder="1"/>
    <xf numFmtId="0" fontId="4" fillId="3" borderId="5" xfId="0" applyFont="1" applyFill="1" applyBorder="1"/>
    <xf numFmtId="0" fontId="3" fillId="3" borderId="7" xfId="0" applyFont="1" applyFill="1" applyBorder="1"/>
    <xf numFmtId="3" fontId="4" fillId="3" borderId="5" xfId="0" applyNumberFormat="1" applyFont="1" applyFill="1" applyBorder="1"/>
    <xf numFmtId="17" fontId="3" fillId="3" borderId="5" xfId="0" applyNumberFormat="1" applyFont="1" applyFill="1" applyBorder="1"/>
    <xf numFmtId="17" fontId="3" fillId="3" borderId="5" xfId="0" applyNumberFormat="1" applyFont="1" applyFill="1" applyBorder="1" applyAlignment="1">
      <alignment horizontal="right"/>
    </xf>
    <xf numFmtId="164" fontId="3" fillId="3" borderId="5" xfId="1" applyNumberFormat="1" applyFont="1" applyFill="1" applyBorder="1" applyAlignment="1"/>
    <xf numFmtId="164" fontId="6" fillId="3" borderId="0" xfId="1" applyNumberFormat="1" applyFont="1" applyFill="1" applyBorder="1" applyAlignment="1">
      <alignment horizontal="right" vertical="center" wrapText="1"/>
    </xf>
    <xf numFmtId="0" fontId="3" fillId="3" borderId="8" xfId="0" applyFont="1" applyFill="1" applyBorder="1"/>
    <xf numFmtId="0" fontId="3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 wrapText="1"/>
    </xf>
    <xf numFmtId="15" fontId="3" fillId="3" borderId="6" xfId="0" applyNumberFormat="1" applyFont="1" applyFill="1" applyBorder="1" applyAlignment="1">
      <alignment horizontal="right" wrapText="1"/>
    </xf>
    <xf numFmtId="164" fontId="3" fillId="3" borderId="6" xfId="0" applyNumberFormat="1" applyFont="1" applyFill="1" applyBorder="1"/>
    <xf numFmtId="3" fontId="3" fillId="3" borderId="6" xfId="0" applyNumberFormat="1" applyFont="1" applyFill="1" applyBorder="1" applyAlignment="1">
      <alignment horizontal="right" wrapText="1"/>
    </xf>
    <xf numFmtId="17" fontId="5" fillId="3" borderId="6" xfId="0" applyNumberFormat="1" applyFont="1" applyFill="1" applyBorder="1" applyAlignment="1">
      <alignment horizontal="right" wrapText="1"/>
    </xf>
    <xf numFmtId="15" fontId="3" fillId="3" borderId="5" xfId="0" applyNumberFormat="1" applyFont="1" applyFill="1" applyBorder="1"/>
    <xf numFmtId="15" fontId="3" fillId="3" borderId="5" xfId="0" applyNumberFormat="1" applyFont="1" applyFill="1" applyBorder="1" applyAlignment="1">
      <alignment horizontal="left"/>
    </xf>
    <xf numFmtId="15" fontId="3" fillId="3" borderId="5" xfId="0" applyNumberFormat="1" applyFont="1" applyFill="1" applyBorder="1" applyAlignment="1">
      <alignment horizontal="right"/>
    </xf>
    <xf numFmtId="164" fontId="3" fillId="3" borderId="5" xfId="1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left"/>
    </xf>
    <xf numFmtId="165" fontId="4" fillId="3" borderId="5" xfId="0" applyNumberFormat="1" applyFont="1" applyFill="1" applyBorder="1"/>
    <xf numFmtId="166" fontId="3" fillId="3" borderId="5" xfId="1" applyNumberFormat="1" applyFont="1" applyFill="1" applyBorder="1" applyAlignment="1"/>
    <xf numFmtId="15" fontId="4" fillId="3" borderId="10" xfId="0" applyNumberFormat="1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3" fontId="4" fillId="3" borderId="10" xfId="0" applyNumberFormat="1" applyFont="1" applyFill="1" applyBorder="1"/>
    <xf numFmtId="164" fontId="3" fillId="3" borderId="10" xfId="1" applyNumberFormat="1" applyFont="1" applyFill="1" applyBorder="1" applyAlignment="1"/>
    <xf numFmtId="15" fontId="3" fillId="3" borderId="10" xfId="0" applyNumberFormat="1" applyFont="1" applyFill="1" applyBorder="1" applyAlignment="1">
      <alignment horizontal="right"/>
    </xf>
    <xf numFmtId="15" fontId="3" fillId="3" borderId="6" xfId="0" applyNumberFormat="1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1" applyNumberFormat="1" applyFont="1"/>
    <xf numFmtId="164" fontId="0" fillId="0" borderId="0" xfId="1" applyNumberFormat="1" applyFont="1"/>
    <xf numFmtId="164" fontId="7" fillId="0" borderId="0" xfId="1" applyNumberFormat="1" applyFont="1"/>
    <xf numFmtId="3" fontId="9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15" fontId="4" fillId="3" borderId="6" xfId="0" applyNumberFormat="1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15" fontId="3" fillId="3" borderId="6" xfId="0" applyNumberFormat="1" applyFont="1" applyFill="1" applyBorder="1" applyAlignment="1">
      <alignment horizontal="right"/>
    </xf>
    <xf numFmtId="17" fontId="3" fillId="3" borderId="6" xfId="0" applyNumberFormat="1" applyFont="1" applyFill="1" applyBorder="1"/>
    <xf numFmtId="3" fontId="4" fillId="3" borderId="6" xfId="0" applyNumberFormat="1" applyFont="1" applyFill="1" applyBorder="1"/>
    <xf numFmtId="164" fontId="3" fillId="3" borderId="6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E851-80F1-49A4-9937-5E473DB829C2}">
  <dimension ref="B1:U589"/>
  <sheetViews>
    <sheetView showGridLines="0" tabSelected="1" workbookViewId="0"/>
  </sheetViews>
  <sheetFormatPr defaultRowHeight="14.5" x14ac:dyDescent="0.35"/>
  <cols>
    <col min="1" max="1" width="2.26953125" customWidth="1"/>
    <col min="2" max="2" width="10.36328125" bestFit="1" customWidth="1"/>
    <col min="3" max="3" width="18.90625" bestFit="1" customWidth="1"/>
    <col min="4" max="4" width="19.54296875" bestFit="1" customWidth="1"/>
    <col min="5" max="5" width="17.81640625" bestFit="1" customWidth="1"/>
    <col min="6" max="6" width="11.08984375" customWidth="1"/>
    <col min="7" max="7" width="12.90625" bestFit="1" customWidth="1"/>
    <col min="8" max="8" width="29.36328125" bestFit="1" customWidth="1"/>
    <col min="9" max="9" width="82.1796875" bestFit="1" customWidth="1"/>
    <col min="10" max="10" width="31.6328125" bestFit="1" customWidth="1"/>
    <col min="11" max="11" width="13.453125" bestFit="1" customWidth="1"/>
    <col min="12" max="12" width="9.1796875" bestFit="1" customWidth="1"/>
    <col min="13" max="13" width="18.36328125" bestFit="1" customWidth="1"/>
    <col min="14" max="14" width="9" bestFit="1" customWidth="1"/>
    <col min="15" max="15" width="13" bestFit="1" customWidth="1"/>
    <col min="16" max="16" width="17" customWidth="1"/>
    <col min="17" max="17" width="20.08984375" bestFit="1" customWidth="1"/>
    <col min="20" max="20" width="18.81640625" bestFit="1" customWidth="1"/>
  </cols>
  <sheetData>
    <row r="1" spans="2:20" ht="15" thickBot="1" x14ac:dyDescent="0.4">
      <c r="B1" s="1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14</v>
      </c>
      <c r="K1" s="5" t="s">
        <v>9</v>
      </c>
      <c r="L1" s="5" t="s">
        <v>10</v>
      </c>
      <c r="M1" s="5" t="s">
        <v>864</v>
      </c>
      <c r="N1" s="3" t="s">
        <v>12</v>
      </c>
      <c r="O1" s="3" t="s">
        <v>13</v>
      </c>
      <c r="P1" s="3" t="s">
        <v>8</v>
      </c>
      <c r="Q1" s="6" t="s">
        <v>863</v>
      </c>
      <c r="T1" s="5" t="s">
        <v>862</v>
      </c>
    </row>
    <row r="2" spans="2:20" ht="22.25" customHeight="1" x14ac:dyDescent="0.35">
      <c r="B2" s="15">
        <v>1</v>
      </c>
      <c r="C2" s="16"/>
      <c r="D2" s="17"/>
      <c r="E2" s="33">
        <v>45751</v>
      </c>
      <c r="F2" s="23">
        <v>45748</v>
      </c>
      <c r="G2" s="11" t="s">
        <v>15</v>
      </c>
      <c r="H2" s="7" t="s">
        <v>16</v>
      </c>
      <c r="I2" s="19" t="s">
        <v>17</v>
      </c>
      <c r="J2" s="18" t="s">
        <v>18</v>
      </c>
      <c r="K2" s="8">
        <v>1568661</v>
      </c>
      <c r="L2" s="8"/>
      <c r="M2" s="8">
        <v>1568661</v>
      </c>
      <c r="N2" s="8"/>
      <c r="O2" s="8">
        <v>470598</v>
      </c>
      <c r="P2" s="18" t="s">
        <v>19</v>
      </c>
      <c r="Q2" s="20" t="s">
        <v>20</v>
      </c>
      <c r="T2" s="8">
        <f>N2+O2</f>
        <v>470598</v>
      </c>
    </row>
    <row r="3" spans="2:20" ht="18.649999999999999" customHeight="1" x14ac:dyDescent="0.35">
      <c r="B3" s="15">
        <v>2</v>
      </c>
      <c r="C3" s="16" t="s">
        <v>21</v>
      </c>
      <c r="D3" s="17" t="s">
        <v>22</v>
      </c>
      <c r="E3" s="33">
        <v>45751</v>
      </c>
      <c r="F3" s="23">
        <v>45748</v>
      </c>
      <c r="G3" s="11" t="s">
        <v>15</v>
      </c>
      <c r="H3" s="7" t="s">
        <v>23</v>
      </c>
      <c r="I3" s="19" t="s">
        <v>24</v>
      </c>
      <c r="J3" s="18" t="s">
        <v>25</v>
      </c>
      <c r="K3" s="8">
        <v>34460</v>
      </c>
      <c r="L3" s="8">
        <v>6164</v>
      </c>
      <c r="M3" s="8">
        <v>40624</v>
      </c>
      <c r="N3" s="8"/>
      <c r="O3" s="8">
        <v>40624</v>
      </c>
      <c r="P3" s="9" t="s">
        <v>26</v>
      </c>
      <c r="Q3" s="20" t="s">
        <v>27</v>
      </c>
      <c r="T3" s="8">
        <f t="shared" ref="T3:T66" si="0">N3+O3</f>
        <v>40624</v>
      </c>
    </row>
    <row r="4" spans="2:20" x14ac:dyDescent="0.35">
      <c r="B4" s="15">
        <v>3</v>
      </c>
      <c r="C4" s="16"/>
      <c r="D4" s="17" t="s">
        <v>22</v>
      </c>
      <c r="E4" s="35">
        <v>45755</v>
      </c>
      <c r="F4" s="23">
        <v>45748</v>
      </c>
      <c r="G4" s="11" t="s">
        <v>859</v>
      </c>
      <c r="H4" s="11" t="s">
        <v>28</v>
      </c>
      <c r="I4" s="17" t="s">
        <v>29</v>
      </c>
      <c r="J4" s="18" t="s">
        <v>30</v>
      </c>
      <c r="K4" s="21">
        <v>637170</v>
      </c>
      <c r="L4" s="8"/>
      <c r="M4" s="8">
        <v>637170</v>
      </c>
      <c r="N4" s="8"/>
      <c r="O4" s="8">
        <v>191151</v>
      </c>
      <c r="P4" s="18" t="s">
        <v>19</v>
      </c>
      <c r="Q4" s="20" t="s">
        <v>31</v>
      </c>
      <c r="T4" s="8">
        <f t="shared" si="0"/>
        <v>191151</v>
      </c>
    </row>
    <row r="5" spans="2:20" ht="16.75" customHeight="1" x14ac:dyDescent="0.35">
      <c r="B5" s="15">
        <v>4</v>
      </c>
      <c r="C5" s="16">
        <v>45745</v>
      </c>
      <c r="D5" s="17" t="s">
        <v>32</v>
      </c>
      <c r="E5" s="35">
        <v>45755</v>
      </c>
      <c r="F5" s="23">
        <v>45748</v>
      </c>
      <c r="G5" s="11" t="s">
        <v>859</v>
      </c>
      <c r="H5" s="7" t="s">
        <v>16</v>
      </c>
      <c r="I5" s="17" t="s">
        <v>33</v>
      </c>
      <c r="J5" s="18" t="s">
        <v>34</v>
      </c>
      <c r="K5" s="19">
        <v>29700</v>
      </c>
      <c r="L5" s="8">
        <v>5346</v>
      </c>
      <c r="M5" s="8">
        <v>20196</v>
      </c>
      <c r="N5" s="8">
        <v>594</v>
      </c>
      <c r="O5" s="8">
        <v>19602</v>
      </c>
      <c r="P5" s="9" t="s">
        <v>26</v>
      </c>
      <c r="Q5" s="20" t="s">
        <v>20</v>
      </c>
      <c r="T5" s="8">
        <f t="shared" si="0"/>
        <v>20196</v>
      </c>
    </row>
    <row r="6" spans="2:20" x14ac:dyDescent="0.35">
      <c r="B6" s="15">
        <v>5</v>
      </c>
      <c r="C6" s="16">
        <v>45661</v>
      </c>
      <c r="D6" s="17" t="s">
        <v>35</v>
      </c>
      <c r="E6" s="35">
        <v>45755</v>
      </c>
      <c r="F6" s="23">
        <v>45748</v>
      </c>
      <c r="G6" s="11" t="s">
        <v>859</v>
      </c>
      <c r="H6" s="7" t="s">
        <v>406</v>
      </c>
      <c r="I6" s="17" t="s">
        <v>36</v>
      </c>
      <c r="J6" s="10" t="s">
        <v>408</v>
      </c>
      <c r="K6" s="21">
        <v>125100</v>
      </c>
      <c r="L6" s="8">
        <v>22518</v>
      </c>
      <c r="M6" s="8">
        <v>147618</v>
      </c>
      <c r="N6" s="8">
        <v>2502</v>
      </c>
      <c r="O6" s="8">
        <v>145116</v>
      </c>
      <c r="P6" s="18" t="s">
        <v>19</v>
      </c>
      <c r="Q6" s="20" t="s">
        <v>31</v>
      </c>
      <c r="T6" s="8">
        <f t="shared" si="0"/>
        <v>147618</v>
      </c>
    </row>
    <row r="7" spans="2:20" x14ac:dyDescent="0.35">
      <c r="B7" s="15">
        <v>6</v>
      </c>
      <c r="C7" s="16">
        <v>45661</v>
      </c>
      <c r="D7" s="17" t="s">
        <v>37</v>
      </c>
      <c r="E7" s="35">
        <v>45755</v>
      </c>
      <c r="F7" s="22">
        <v>45717</v>
      </c>
      <c r="G7" s="11" t="s">
        <v>15</v>
      </c>
      <c r="H7" s="11" t="s">
        <v>38</v>
      </c>
      <c r="I7" s="17" t="s">
        <v>39</v>
      </c>
      <c r="J7" s="18" t="s">
        <v>40</v>
      </c>
      <c r="K7" s="19">
        <v>8980</v>
      </c>
      <c r="L7" s="8">
        <v>1616</v>
      </c>
      <c r="M7" s="8">
        <v>10596</v>
      </c>
      <c r="N7" s="8">
        <v>180</v>
      </c>
      <c r="O7" s="8">
        <v>10417</v>
      </c>
      <c r="P7" s="9" t="s">
        <v>41</v>
      </c>
      <c r="Q7" s="20" t="s">
        <v>27</v>
      </c>
      <c r="T7" s="8">
        <f t="shared" si="0"/>
        <v>10597</v>
      </c>
    </row>
    <row r="8" spans="2:20" ht="18.649999999999999" customHeight="1" x14ac:dyDescent="0.35">
      <c r="B8" s="15">
        <v>7</v>
      </c>
      <c r="C8" s="16" t="s">
        <v>42</v>
      </c>
      <c r="D8" s="17" t="s">
        <v>43</v>
      </c>
      <c r="E8" s="35">
        <v>45755</v>
      </c>
      <c r="F8" s="23">
        <v>45748</v>
      </c>
      <c r="G8" s="11" t="s">
        <v>859</v>
      </c>
      <c r="H8" s="11" t="s">
        <v>44</v>
      </c>
      <c r="I8" s="17" t="s">
        <v>45</v>
      </c>
      <c r="J8" s="10" t="s">
        <v>46</v>
      </c>
      <c r="K8" s="19">
        <v>27262</v>
      </c>
      <c r="L8" s="8">
        <v>3914</v>
      </c>
      <c r="M8" s="8">
        <v>31176</v>
      </c>
      <c r="N8" s="8"/>
      <c r="O8" s="8">
        <v>31176</v>
      </c>
      <c r="P8" s="9" t="s">
        <v>26</v>
      </c>
      <c r="Q8" s="20" t="s">
        <v>47</v>
      </c>
      <c r="T8" s="8">
        <f t="shared" si="0"/>
        <v>31176</v>
      </c>
    </row>
    <row r="9" spans="2:20" x14ac:dyDescent="0.35">
      <c r="B9" s="15">
        <v>8</v>
      </c>
      <c r="C9" s="16">
        <v>45661</v>
      </c>
      <c r="D9" s="17" t="s">
        <v>48</v>
      </c>
      <c r="E9" s="35">
        <v>45755</v>
      </c>
      <c r="F9" s="22">
        <v>45717</v>
      </c>
      <c r="G9" s="11" t="s">
        <v>15</v>
      </c>
      <c r="H9" s="7" t="s">
        <v>49</v>
      </c>
      <c r="I9" s="17" t="s">
        <v>50</v>
      </c>
      <c r="J9" s="10" t="s">
        <v>51</v>
      </c>
      <c r="K9" s="19">
        <v>7500</v>
      </c>
      <c r="L9" s="8">
        <v>1350</v>
      </c>
      <c r="M9" s="8">
        <v>8850</v>
      </c>
      <c r="N9" s="8">
        <v>75</v>
      </c>
      <c r="O9" s="8">
        <v>8775</v>
      </c>
      <c r="P9" s="9" t="s">
        <v>41</v>
      </c>
      <c r="Q9" s="20" t="s">
        <v>31</v>
      </c>
      <c r="T9" s="8">
        <f t="shared" si="0"/>
        <v>8850</v>
      </c>
    </row>
    <row r="10" spans="2:20" x14ac:dyDescent="0.35">
      <c r="B10" s="15">
        <v>9</v>
      </c>
      <c r="C10" s="16" t="s">
        <v>52</v>
      </c>
      <c r="D10" s="17">
        <v>3015</v>
      </c>
      <c r="E10" s="35">
        <v>45757</v>
      </c>
      <c r="F10" s="22">
        <v>45717</v>
      </c>
      <c r="G10" s="11" t="s">
        <v>15</v>
      </c>
      <c r="H10" s="11" t="s">
        <v>53</v>
      </c>
      <c r="I10" s="17" t="s">
        <v>54</v>
      </c>
      <c r="J10" s="18" t="s">
        <v>55</v>
      </c>
      <c r="K10" s="19">
        <v>27636</v>
      </c>
      <c r="L10" s="8">
        <v>3316</v>
      </c>
      <c r="M10" s="8">
        <v>30952</v>
      </c>
      <c r="N10" s="8"/>
      <c r="O10" s="8">
        <v>30952</v>
      </c>
      <c r="P10" s="9" t="s">
        <v>41</v>
      </c>
      <c r="Q10" s="20" t="s">
        <v>27</v>
      </c>
      <c r="T10" s="8">
        <f t="shared" si="0"/>
        <v>30952</v>
      </c>
    </row>
    <row r="11" spans="2:20" x14ac:dyDescent="0.35">
      <c r="B11" s="15">
        <v>10</v>
      </c>
      <c r="C11" s="16" t="s">
        <v>56</v>
      </c>
      <c r="D11" s="17" t="s">
        <v>57</v>
      </c>
      <c r="E11" s="35">
        <v>45757</v>
      </c>
      <c r="F11" s="23">
        <v>45748</v>
      </c>
      <c r="G11" s="11" t="s">
        <v>859</v>
      </c>
      <c r="H11" s="11" t="s">
        <v>58</v>
      </c>
      <c r="I11" s="17" t="s">
        <v>59</v>
      </c>
      <c r="J11" s="18" t="s">
        <v>46</v>
      </c>
      <c r="K11" s="19">
        <v>76968</v>
      </c>
      <c r="L11" s="8">
        <v>12739</v>
      </c>
      <c r="M11" s="8">
        <v>89707</v>
      </c>
      <c r="N11" s="8"/>
      <c r="O11" s="8">
        <v>89707</v>
      </c>
      <c r="P11" s="9" t="s">
        <v>26</v>
      </c>
      <c r="Q11" s="20" t="s">
        <v>47</v>
      </c>
      <c r="T11" s="8">
        <f t="shared" si="0"/>
        <v>89707</v>
      </c>
    </row>
    <row r="12" spans="2:20" x14ac:dyDescent="0.35">
      <c r="B12" s="15">
        <v>11</v>
      </c>
      <c r="C12" s="16">
        <v>45720</v>
      </c>
      <c r="D12" s="17">
        <v>24</v>
      </c>
      <c r="E12" s="35">
        <v>45757</v>
      </c>
      <c r="F12" s="23">
        <v>45748</v>
      </c>
      <c r="G12" s="11" t="s">
        <v>859</v>
      </c>
      <c r="H12" s="11" t="s">
        <v>60</v>
      </c>
      <c r="I12" s="17" t="s">
        <v>61</v>
      </c>
      <c r="J12" s="18" t="s">
        <v>62</v>
      </c>
      <c r="K12" s="19">
        <v>14880</v>
      </c>
      <c r="L12" s="8"/>
      <c r="M12" s="8">
        <v>14880</v>
      </c>
      <c r="N12" s="8"/>
      <c r="O12" s="8">
        <v>7440</v>
      </c>
      <c r="P12" s="9" t="s">
        <v>26</v>
      </c>
      <c r="Q12" s="20" t="s">
        <v>47</v>
      </c>
      <c r="T12" s="8">
        <f t="shared" si="0"/>
        <v>7440</v>
      </c>
    </row>
    <row r="13" spans="2:20" ht="15" customHeight="1" x14ac:dyDescent="0.35">
      <c r="B13" s="15">
        <v>12</v>
      </c>
      <c r="C13" s="16" t="s">
        <v>63</v>
      </c>
      <c r="D13" s="17">
        <v>59</v>
      </c>
      <c r="E13" s="35">
        <v>45757</v>
      </c>
      <c r="F13" s="22">
        <v>45717</v>
      </c>
      <c r="G13" s="11" t="s">
        <v>15</v>
      </c>
      <c r="H13" s="7" t="s">
        <v>64</v>
      </c>
      <c r="I13" s="17" t="s">
        <v>65</v>
      </c>
      <c r="J13" s="10" t="s">
        <v>66</v>
      </c>
      <c r="K13" s="19">
        <v>95000</v>
      </c>
      <c r="L13" s="8">
        <v>17100</v>
      </c>
      <c r="M13" s="8">
        <v>112100</v>
      </c>
      <c r="N13" s="8">
        <v>950</v>
      </c>
      <c r="O13" s="8">
        <v>111150</v>
      </c>
      <c r="P13" s="9" t="s">
        <v>41</v>
      </c>
      <c r="Q13" s="20" t="s">
        <v>67</v>
      </c>
      <c r="T13" s="8">
        <f t="shared" si="0"/>
        <v>112100</v>
      </c>
    </row>
    <row r="14" spans="2:20" x14ac:dyDescent="0.35">
      <c r="B14" s="15">
        <v>13</v>
      </c>
      <c r="C14" s="16">
        <v>45751</v>
      </c>
      <c r="D14" s="17" t="s">
        <v>68</v>
      </c>
      <c r="E14" s="35">
        <v>45757</v>
      </c>
      <c r="F14" s="22">
        <v>45717</v>
      </c>
      <c r="G14" s="11" t="s">
        <v>15</v>
      </c>
      <c r="H14" s="7" t="s">
        <v>69</v>
      </c>
      <c r="I14" s="17" t="s">
        <v>70</v>
      </c>
      <c r="J14" s="18" t="s">
        <v>71</v>
      </c>
      <c r="K14" s="21">
        <v>156850</v>
      </c>
      <c r="L14" s="8">
        <v>28233</v>
      </c>
      <c r="M14" s="8">
        <v>185083</v>
      </c>
      <c r="N14" s="8">
        <v>3137</v>
      </c>
      <c r="O14" s="8">
        <v>181946</v>
      </c>
      <c r="P14" s="9" t="s">
        <v>41</v>
      </c>
      <c r="Q14" s="20" t="s">
        <v>31</v>
      </c>
      <c r="T14" s="8">
        <f t="shared" si="0"/>
        <v>185083</v>
      </c>
    </row>
    <row r="15" spans="2:20" x14ac:dyDescent="0.35">
      <c r="B15" s="15">
        <v>14</v>
      </c>
      <c r="C15" s="16">
        <v>45751</v>
      </c>
      <c r="D15" s="17" t="s">
        <v>72</v>
      </c>
      <c r="E15" s="35">
        <v>45757</v>
      </c>
      <c r="F15" s="22">
        <v>45717</v>
      </c>
      <c r="G15" s="11" t="s">
        <v>15</v>
      </c>
      <c r="H15" s="7" t="s">
        <v>69</v>
      </c>
      <c r="I15" s="17" t="s">
        <v>73</v>
      </c>
      <c r="J15" s="18" t="s">
        <v>71</v>
      </c>
      <c r="K15" s="19">
        <v>42233</v>
      </c>
      <c r="L15" s="8">
        <v>7602</v>
      </c>
      <c r="M15" s="8">
        <v>49835</v>
      </c>
      <c r="N15" s="8">
        <v>844.66</v>
      </c>
      <c r="O15" s="8">
        <v>48990</v>
      </c>
      <c r="P15" s="9" t="s">
        <v>41</v>
      </c>
      <c r="Q15" s="20" t="s">
        <v>31</v>
      </c>
      <c r="T15" s="8">
        <f t="shared" si="0"/>
        <v>49834.66</v>
      </c>
    </row>
    <row r="16" spans="2:20" x14ac:dyDescent="0.35">
      <c r="B16" s="15">
        <v>15</v>
      </c>
      <c r="C16" s="16">
        <v>45751</v>
      </c>
      <c r="D16" s="17" t="s">
        <v>74</v>
      </c>
      <c r="E16" s="35">
        <v>45757</v>
      </c>
      <c r="F16" s="22">
        <v>45717</v>
      </c>
      <c r="G16" s="11" t="s">
        <v>15</v>
      </c>
      <c r="H16" s="7" t="s">
        <v>69</v>
      </c>
      <c r="I16" s="17" t="s">
        <v>75</v>
      </c>
      <c r="J16" s="18" t="s">
        <v>71</v>
      </c>
      <c r="K16" s="21">
        <v>1590902</v>
      </c>
      <c r="L16" s="8">
        <v>286362</v>
      </c>
      <c r="M16" s="8">
        <v>1877264</v>
      </c>
      <c r="N16" s="8">
        <v>31818.03</v>
      </c>
      <c r="O16" s="8">
        <v>1845446</v>
      </c>
      <c r="P16" s="9" t="s">
        <v>41</v>
      </c>
      <c r="Q16" s="20" t="s">
        <v>31</v>
      </c>
      <c r="T16" s="8">
        <f t="shared" si="0"/>
        <v>1877264.03</v>
      </c>
    </row>
    <row r="17" spans="2:20" ht="15.65" customHeight="1" x14ac:dyDescent="0.35">
      <c r="B17" s="15">
        <v>16</v>
      </c>
      <c r="C17" s="16" t="s">
        <v>76</v>
      </c>
      <c r="D17" s="17" t="s">
        <v>77</v>
      </c>
      <c r="E17" s="35">
        <v>45757</v>
      </c>
      <c r="F17" s="23">
        <v>45748</v>
      </c>
      <c r="G17" s="11" t="s">
        <v>859</v>
      </c>
      <c r="H17" s="7" t="s">
        <v>16</v>
      </c>
      <c r="I17" s="17" t="s">
        <v>78</v>
      </c>
      <c r="J17" s="18" t="s">
        <v>79</v>
      </c>
      <c r="K17" s="19">
        <v>96404</v>
      </c>
      <c r="L17" s="8">
        <v>17353</v>
      </c>
      <c r="M17" s="8">
        <v>113757</v>
      </c>
      <c r="N17" s="8">
        <v>1928.08</v>
      </c>
      <c r="O17" s="8">
        <v>111829</v>
      </c>
      <c r="P17" s="18" t="s">
        <v>19</v>
      </c>
      <c r="Q17" s="20" t="s">
        <v>20</v>
      </c>
      <c r="T17" s="8">
        <f t="shared" si="0"/>
        <v>113757.08</v>
      </c>
    </row>
    <row r="18" spans="2:20" ht="19.25" customHeight="1" x14ac:dyDescent="0.35">
      <c r="B18" s="15">
        <v>17</v>
      </c>
      <c r="C18" s="16"/>
      <c r="D18" s="17" t="s">
        <v>22</v>
      </c>
      <c r="E18" s="35">
        <v>45757</v>
      </c>
      <c r="F18" s="23">
        <v>45748</v>
      </c>
      <c r="G18" s="11" t="s">
        <v>859</v>
      </c>
      <c r="H18" s="7" t="s">
        <v>80</v>
      </c>
      <c r="I18" s="17" t="s">
        <v>81</v>
      </c>
      <c r="J18" s="10" t="s">
        <v>82</v>
      </c>
      <c r="K18" s="21">
        <v>505000</v>
      </c>
      <c r="L18" s="8">
        <v>90900</v>
      </c>
      <c r="M18" s="8">
        <v>595900</v>
      </c>
      <c r="N18" s="8"/>
      <c r="O18" s="8">
        <v>297950</v>
      </c>
      <c r="P18" s="18" t="s">
        <v>19</v>
      </c>
      <c r="Q18" s="12" t="s">
        <v>27</v>
      </c>
      <c r="T18" s="8">
        <f t="shared" si="0"/>
        <v>297950</v>
      </c>
    </row>
    <row r="19" spans="2:20" ht="14.4" customHeight="1" x14ac:dyDescent="0.35">
      <c r="B19" s="15">
        <v>18</v>
      </c>
      <c r="C19" s="16" t="s">
        <v>21</v>
      </c>
      <c r="D19" s="17">
        <v>1438</v>
      </c>
      <c r="E19" s="35">
        <v>45763</v>
      </c>
      <c r="F19" s="22">
        <v>45717</v>
      </c>
      <c r="G19" s="11" t="s">
        <v>15</v>
      </c>
      <c r="H19" s="7" t="s">
        <v>83</v>
      </c>
      <c r="I19" s="17" t="s">
        <v>84</v>
      </c>
      <c r="J19" s="10" t="s">
        <v>85</v>
      </c>
      <c r="K19" s="21">
        <v>352880</v>
      </c>
      <c r="L19" s="8">
        <v>63518</v>
      </c>
      <c r="M19" s="8">
        <v>416398</v>
      </c>
      <c r="N19" s="8">
        <v>7058</v>
      </c>
      <c r="O19" s="8">
        <v>409341</v>
      </c>
      <c r="P19" s="9" t="s">
        <v>41</v>
      </c>
      <c r="Q19" s="12" t="s">
        <v>27</v>
      </c>
      <c r="T19" s="8">
        <f t="shared" si="0"/>
        <v>416399</v>
      </c>
    </row>
    <row r="20" spans="2:20" x14ac:dyDescent="0.35">
      <c r="B20" s="15">
        <v>19</v>
      </c>
      <c r="C20" s="16" t="s">
        <v>86</v>
      </c>
      <c r="D20" s="17">
        <v>19286</v>
      </c>
      <c r="E20" s="35">
        <v>45763</v>
      </c>
      <c r="F20" s="23">
        <v>45748</v>
      </c>
      <c r="G20" s="11" t="s">
        <v>859</v>
      </c>
      <c r="H20" s="11" t="s">
        <v>87</v>
      </c>
      <c r="I20" s="17" t="s">
        <v>88</v>
      </c>
      <c r="J20" s="18" t="s">
        <v>89</v>
      </c>
      <c r="K20" s="19">
        <v>10590</v>
      </c>
      <c r="L20" s="8">
        <v>1906</v>
      </c>
      <c r="M20" s="8">
        <v>12496</v>
      </c>
      <c r="N20" s="8"/>
      <c r="O20" s="8">
        <v>12496</v>
      </c>
      <c r="P20" s="9" t="s">
        <v>41</v>
      </c>
      <c r="Q20" s="12" t="s">
        <v>67</v>
      </c>
      <c r="T20" s="8">
        <f t="shared" si="0"/>
        <v>12496</v>
      </c>
    </row>
    <row r="21" spans="2:20" x14ac:dyDescent="0.35">
      <c r="B21" s="15">
        <v>20</v>
      </c>
      <c r="C21" s="16">
        <v>45965</v>
      </c>
      <c r="D21" s="17"/>
      <c r="E21" s="35">
        <v>45763</v>
      </c>
      <c r="F21" s="23">
        <v>45748</v>
      </c>
      <c r="G21" s="11" t="s">
        <v>859</v>
      </c>
      <c r="H21" s="11" t="s">
        <v>90</v>
      </c>
      <c r="I21" s="17" t="s">
        <v>91</v>
      </c>
      <c r="J21" s="18" t="s">
        <v>92</v>
      </c>
      <c r="K21" s="19">
        <v>22340</v>
      </c>
      <c r="L21" s="8">
        <v>4021</v>
      </c>
      <c r="M21" s="8">
        <v>26361</v>
      </c>
      <c r="N21" s="8"/>
      <c r="O21" s="8">
        <v>26361</v>
      </c>
      <c r="P21" s="9" t="s">
        <v>26</v>
      </c>
      <c r="Q21" s="20" t="s">
        <v>93</v>
      </c>
      <c r="T21" s="8">
        <f t="shared" si="0"/>
        <v>26361</v>
      </c>
    </row>
    <row r="22" spans="2:20" x14ac:dyDescent="0.35">
      <c r="B22" s="15">
        <v>24</v>
      </c>
      <c r="C22" s="16">
        <v>45964</v>
      </c>
      <c r="D22" s="17" t="s">
        <v>22</v>
      </c>
      <c r="E22" s="35">
        <v>45768</v>
      </c>
      <c r="F22" s="23">
        <v>45748</v>
      </c>
      <c r="G22" s="11" t="s">
        <v>859</v>
      </c>
      <c r="H22" s="11" t="s">
        <v>94</v>
      </c>
      <c r="I22" s="17" t="s">
        <v>95</v>
      </c>
      <c r="J22" s="18" t="s">
        <v>96</v>
      </c>
      <c r="K22" s="19">
        <v>21000</v>
      </c>
      <c r="L22" s="8">
        <v>3780</v>
      </c>
      <c r="M22" s="8">
        <v>24780</v>
      </c>
      <c r="N22" s="8"/>
      <c r="O22" s="8">
        <v>12390</v>
      </c>
      <c r="P22" s="9" t="s">
        <v>26</v>
      </c>
      <c r="Q22" s="20" t="s">
        <v>47</v>
      </c>
      <c r="T22" s="8">
        <f t="shared" si="0"/>
        <v>12390</v>
      </c>
    </row>
    <row r="23" spans="2:20" x14ac:dyDescent="0.35">
      <c r="B23" s="15">
        <v>25</v>
      </c>
      <c r="C23" s="16" t="s">
        <v>86</v>
      </c>
      <c r="D23" s="17" t="s">
        <v>97</v>
      </c>
      <c r="E23" s="35">
        <v>45768</v>
      </c>
      <c r="F23" s="23">
        <v>45748</v>
      </c>
      <c r="G23" s="11" t="s">
        <v>859</v>
      </c>
      <c r="H23" s="11" t="s">
        <v>58</v>
      </c>
      <c r="I23" s="17" t="s">
        <v>98</v>
      </c>
      <c r="J23" s="18" t="s">
        <v>46</v>
      </c>
      <c r="K23" s="19">
        <v>75024</v>
      </c>
      <c r="L23" s="8">
        <v>12687</v>
      </c>
      <c r="M23" s="8">
        <v>87711</v>
      </c>
      <c r="N23" s="8"/>
      <c r="O23" s="8">
        <v>87711</v>
      </c>
      <c r="P23" s="9" t="s">
        <v>26</v>
      </c>
      <c r="Q23" s="20" t="s">
        <v>47</v>
      </c>
      <c r="T23" s="8">
        <f t="shared" si="0"/>
        <v>87711</v>
      </c>
    </row>
    <row r="24" spans="2:20" x14ac:dyDescent="0.35">
      <c r="B24" s="15">
        <v>26</v>
      </c>
      <c r="C24" s="16" t="s">
        <v>99</v>
      </c>
      <c r="D24" s="17">
        <v>26</v>
      </c>
      <c r="E24" s="35">
        <v>45768</v>
      </c>
      <c r="F24" s="23">
        <v>45748</v>
      </c>
      <c r="G24" s="11" t="s">
        <v>859</v>
      </c>
      <c r="H24" s="11" t="s">
        <v>100</v>
      </c>
      <c r="I24" s="17" t="s">
        <v>101</v>
      </c>
      <c r="J24" s="18" t="s">
        <v>102</v>
      </c>
      <c r="K24" s="19">
        <v>7200</v>
      </c>
      <c r="L24" s="8"/>
      <c r="M24" s="8">
        <v>7200</v>
      </c>
      <c r="N24" s="8"/>
      <c r="O24" s="8">
        <v>7200</v>
      </c>
      <c r="P24" s="9" t="s">
        <v>26</v>
      </c>
      <c r="Q24" s="20" t="s">
        <v>47</v>
      </c>
      <c r="T24" s="8">
        <f t="shared" si="0"/>
        <v>7200</v>
      </c>
    </row>
    <row r="25" spans="2:20" x14ac:dyDescent="0.35">
      <c r="B25" s="15">
        <v>27</v>
      </c>
      <c r="C25" s="16">
        <v>45965</v>
      </c>
      <c r="D25" s="17">
        <v>22</v>
      </c>
      <c r="E25" s="35">
        <v>45768</v>
      </c>
      <c r="F25" s="23">
        <v>45748</v>
      </c>
      <c r="G25" s="11" t="s">
        <v>859</v>
      </c>
      <c r="H25" s="11" t="s">
        <v>103</v>
      </c>
      <c r="I25" s="17" t="s">
        <v>104</v>
      </c>
      <c r="J25" s="18" t="s">
        <v>105</v>
      </c>
      <c r="K25" s="19">
        <v>10510</v>
      </c>
      <c r="L25" s="8">
        <v>1892</v>
      </c>
      <c r="M25" s="8">
        <v>12402</v>
      </c>
      <c r="N25" s="8"/>
      <c r="O25" s="8">
        <v>12402</v>
      </c>
      <c r="P25" s="9" t="s">
        <v>41</v>
      </c>
      <c r="Q25" s="20" t="s">
        <v>155</v>
      </c>
      <c r="T25" s="8">
        <f t="shared" si="0"/>
        <v>12402</v>
      </c>
    </row>
    <row r="26" spans="2:20" x14ac:dyDescent="0.35">
      <c r="B26" s="15">
        <v>28</v>
      </c>
      <c r="C26" s="16">
        <v>45965</v>
      </c>
      <c r="D26" s="17">
        <v>507</v>
      </c>
      <c r="E26" s="35">
        <v>45768</v>
      </c>
      <c r="F26" s="23">
        <v>45748</v>
      </c>
      <c r="G26" s="11" t="s">
        <v>859</v>
      </c>
      <c r="H26" s="11" t="s">
        <v>103</v>
      </c>
      <c r="I26" s="17" t="s">
        <v>106</v>
      </c>
      <c r="J26" s="18" t="s">
        <v>105</v>
      </c>
      <c r="K26" s="19">
        <v>3298</v>
      </c>
      <c r="L26" s="8"/>
      <c r="M26" s="8">
        <v>3298</v>
      </c>
      <c r="N26" s="8"/>
      <c r="O26" s="8">
        <v>3298</v>
      </c>
      <c r="P26" s="9" t="s">
        <v>41</v>
      </c>
      <c r="Q26" s="20" t="s">
        <v>155</v>
      </c>
      <c r="T26" s="8">
        <f t="shared" si="0"/>
        <v>3298</v>
      </c>
    </row>
    <row r="27" spans="2:20" x14ac:dyDescent="0.35">
      <c r="B27" s="15">
        <v>29</v>
      </c>
      <c r="C27" s="16" t="s">
        <v>86</v>
      </c>
      <c r="D27" s="17" t="s">
        <v>107</v>
      </c>
      <c r="E27" s="35">
        <v>45768</v>
      </c>
      <c r="F27" s="23">
        <v>45748</v>
      </c>
      <c r="G27" s="11" t="s">
        <v>859</v>
      </c>
      <c r="H27" s="11" t="s">
        <v>108</v>
      </c>
      <c r="I27" s="17" t="s">
        <v>109</v>
      </c>
      <c r="J27" s="18" t="s">
        <v>110</v>
      </c>
      <c r="K27" s="19">
        <v>89888</v>
      </c>
      <c r="L27" s="8">
        <v>16180</v>
      </c>
      <c r="M27" s="8">
        <v>106068</v>
      </c>
      <c r="N27" s="8">
        <v>8989</v>
      </c>
      <c r="O27" s="8">
        <v>97079</v>
      </c>
      <c r="P27" s="9" t="s">
        <v>41</v>
      </c>
      <c r="Q27" s="20" t="s">
        <v>858</v>
      </c>
      <c r="T27" s="8">
        <f t="shared" si="0"/>
        <v>106068</v>
      </c>
    </row>
    <row r="28" spans="2:20" x14ac:dyDescent="0.35">
      <c r="B28" s="15">
        <v>30</v>
      </c>
      <c r="C28" s="16" t="s">
        <v>111</v>
      </c>
      <c r="D28" s="17">
        <v>29</v>
      </c>
      <c r="E28" s="35">
        <v>45768</v>
      </c>
      <c r="F28" s="23">
        <v>45748</v>
      </c>
      <c r="G28" s="11" t="s">
        <v>859</v>
      </c>
      <c r="H28" s="11" t="s">
        <v>112</v>
      </c>
      <c r="I28" s="17" t="s">
        <v>113</v>
      </c>
      <c r="J28" s="18" t="s">
        <v>114</v>
      </c>
      <c r="K28" s="19">
        <v>22010</v>
      </c>
      <c r="L28" s="8">
        <v>3962</v>
      </c>
      <c r="M28" s="8">
        <v>25972</v>
      </c>
      <c r="N28" s="8"/>
      <c r="O28" s="8">
        <v>25972</v>
      </c>
      <c r="P28" s="18" t="s">
        <v>19</v>
      </c>
      <c r="Q28" s="20" t="s">
        <v>27</v>
      </c>
      <c r="T28" s="8">
        <f t="shared" si="0"/>
        <v>25972</v>
      </c>
    </row>
    <row r="29" spans="2:20" x14ac:dyDescent="0.35">
      <c r="B29" s="15">
        <v>31</v>
      </c>
      <c r="C29" s="16" t="s">
        <v>115</v>
      </c>
      <c r="D29" s="17" t="s">
        <v>22</v>
      </c>
      <c r="E29" s="35">
        <v>45768</v>
      </c>
      <c r="F29" s="23">
        <v>45748</v>
      </c>
      <c r="G29" s="11" t="s">
        <v>859</v>
      </c>
      <c r="H29" s="7" t="s">
        <v>116</v>
      </c>
      <c r="I29" s="17" t="s">
        <v>117</v>
      </c>
      <c r="J29" s="18" t="s">
        <v>118</v>
      </c>
      <c r="K29" s="19">
        <v>15000</v>
      </c>
      <c r="L29" s="8"/>
      <c r="M29" s="8">
        <v>15000</v>
      </c>
      <c r="N29" s="8"/>
      <c r="O29" s="8">
        <v>7500</v>
      </c>
      <c r="P29" s="9" t="s">
        <v>26</v>
      </c>
      <c r="Q29" s="20" t="s">
        <v>47</v>
      </c>
      <c r="T29" s="8">
        <f t="shared" si="0"/>
        <v>7500</v>
      </c>
    </row>
    <row r="30" spans="2:20" ht="16.25" customHeight="1" x14ac:dyDescent="0.35">
      <c r="B30" s="15">
        <v>32</v>
      </c>
      <c r="C30" s="16" t="s">
        <v>119</v>
      </c>
      <c r="D30" s="17"/>
      <c r="E30" s="35">
        <v>45768</v>
      </c>
      <c r="F30" s="23">
        <v>45748</v>
      </c>
      <c r="G30" s="11" t="s">
        <v>859</v>
      </c>
      <c r="H30" s="7" t="s">
        <v>120</v>
      </c>
      <c r="I30" s="17" t="s">
        <v>121</v>
      </c>
      <c r="J30" s="10" t="s">
        <v>122</v>
      </c>
      <c r="K30" s="19">
        <v>5000</v>
      </c>
      <c r="L30" s="8"/>
      <c r="M30" s="8">
        <v>5000</v>
      </c>
      <c r="N30" s="8"/>
      <c r="O30" s="8">
        <v>5000</v>
      </c>
      <c r="P30" s="9" t="s">
        <v>26</v>
      </c>
      <c r="Q30" s="12" t="s">
        <v>27</v>
      </c>
      <c r="T30" s="8">
        <f t="shared" si="0"/>
        <v>5000</v>
      </c>
    </row>
    <row r="31" spans="2:20" ht="16.25" customHeight="1" x14ac:dyDescent="0.35">
      <c r="B31" s="15">
        <v>33</v>
      </c>
      <c r="C31" s="16" t="s">
        <v>123</v>
      </c>
      <c r="D31" s="17"/>
      <c r="E31" s="35">
        <v>45768</v>
      </c>
      <c r="F31" s="23">
        <v>45748</v>
      </c>
      <c r="G31" s="11" t="s">
        <v>859</v>
      </c>
      <c r="H31" s="7" t="s">
        <v>120</v>
      </c>
      <c r="I31" s="17" t="s">
        <v>124</v>
      </c>
      <c r="J31" s="10" t="s">
        <v>122</v>
      </c>
      <c r="K31" s="19">
        <v>7300</v>
      </c>
      <c r="L31" s="8"/>
      <c r="M31" s="8">
        <v>7300</v>
      </c>
      <c r="N31" s="8"/>
      <c r="O31" s="8">
        <v>7300</v>
      </c>
      <c r="P31" s="9" t="s">
        <v>26</v>
      </c>
      <c r="Q31" s="12" t="s">
        <v>27</v>
      </c>
      <c r="T31" s="8">
        <f t="shared" si="0"/>
        <v>7300</v>
      </c>
    </row>
    <row r="32" spans="2:20" ht="15" customHeight="1" x14ac:dyDescent="0.35">
      <c r="B32" s="15">
        <v>34</v>
      </c>
      <c r="C32" s="16"/>
      <c r="D32" s="17"/>
      <c r="E32" s="35">
        <v>45768</v>
      </c>
      <c r="F32" s="23">
        <v>45748</v>
      </c>
      <c r="G32" s="11" t="s">
        <v>859</v>
      </c>
      <c r="H32" s="7" t="s">
        <v>16</v>
      </c>
      <c r="I32" s="17" t="s">
        <v>125</v>
      </c>
      <c r="J32" s="18" t="s">
        <v>18</v>
      </c>
      <c r="K32" s="21">
        <v>1898631</v>
      </c>
      <c r="L32" s="8">
        <v>341754</v>
      </c>
      <c r="M32" s="8">
        <v>2240385</v>
      </c>
      <c r="N32" s="8"/>
      <c r="O32" s="8">
        <v>653654</v>
      </c>
      <c r="P32" s="18" t="s">
        <v>19</v>
      </c>
      <c r="Q32" s="20" t="s">
        <v>20</v>
      </c>
      <c r="T32" s="8">
        <f t="shared" si="0"/>
        <v>653654</v>
      </c>
    </row>
    <row r="33" spans="2:20" x14ac:dyDescent="0.35">
      <c r="B33" s="15">
        <v>35</v>
      </c>
      <c r="C33" s="16" t="s">
        <v>123</v>
      </c>
      <c r="D33" s="17"/>
      <c r="E33" s="35">
        <v>45770</v>
      </c>
      <c r="F33" s="23">
        <v>45748</v>
      </c>
      <c r="G33" s="11" t="s">
        <v>859</v>
      </c>
      <c r="H33" s="11" t="s">
        <v>90</v>
      </c>
      <c r="I33" s="17" t="s">
        <v>126</v>
      </c>
      <c r="J33" s="18" t="s">
        <v>92</v>
      </c>
      <c r="K33" s="19">
        <v>974</v>
      </c>
      <c r="L33" s="8">
        <v>176</v>
      </c>
      <c r="M33" s="8">
        <v>1150</v>
      </c>
      <c r="N33" s="8"/>
      <c r="O33" s="8">
        <v>1150</v>
      </c>
      <c r="P33" s="9" t="s">
        <v>26</v>
      </c>
      <c r="Q33" s="20" t="s">
        <v>93</v>
      </c>
      <c r="T33" s="8">
        <f t="shared" si="0"/>
        <v>1150</v>
      </c>
    </row>
    <row r="34" spans="2:20" x14ac:dyDescent="0.35">
      <c r="B34" s="15">
        <v>36</v>
      </c>
      <c r="C34" s="16" t="s">
        <v>127</v>
      </c>
      <c r="D34" s="17">
        <v>1924</v>
      </c>
      <c r="E34" s="35">
        <v>45770</v>
      </c>
      <c r="F34" s="23">
        <v>45748</v>
      </c>
      <c r="G34" s="11" t="s">
        <v>859</v>
      </c>
      <c r="H34" s="11" t="s">
        <v>128</v>
      </c>
      <c r="I34" s="17" t="s">
        <v>129</v>
      </c>
      <c r="J34" s="18" t="s">
        <v>130</v>
      </c>
      <c r="K34" s="19">
        <v>26650</v>
      </c>
      <c r="L34" s="8">
        <v>4797</v>
      </c>
      <c r="M34" s="8">
        <v>31447</v>
      </c>
      <c r="N34" s="8"/>
      <c r="O34" s="8">
        <v>31447</v>
      </c>
      <c r="P34" s="9" t="s">
        <v>26</v>
      </c>
      <c r="Q34" s="20" t="s">
        <v>27</v>
      </c>
      <c r="T34" s="8">
        <f t="shared" si="0"/>
        <v>31447</v>
      </c>
    </row>
    <row r="35" spans="2:20" x14ac:dyDescent="0.35">
      <c r="B35" s="15">
        <v>37</v>
      </c>
      <c r="C35" s="16" t="s">
        <v>131</v>
      </c>
      <c r="D35" s="17"/>
      <c r="E35" s="35">
        <v>45773</v>
      </c>
      <c r="F35" s="23">
        <v>45748</v>
      </c>
      <c r="G35" s="11" t="s">
        <v>859</v>
      </c>
      <c r="H35" s="11" t="s">
        <v>90</v>
      </c>
      <c r="I35" s="17" t="s">
        <v>132</v>
      </c>
      <c r="J35" s="18" t="s">
        <v>92</v>
      </c>
      <c r="K35" s="19">
        <v>4579</v>
      </c>
      <c r="L35" s="8">
        <v>824</v>
      </c>
      <c r="M35" s="8">
        <v>5403</v>
      </c>
      <c r="N35" s="8"/>
      <c r="O35" s="8">
        <v>5403</v>
      </c>
      <c r="P35" s="9" t="s">
        <v>26</v>
      </c>
      <c r="Q35" s="20" t="s">
        <v>93</v>
      </c>
      <c r="T35" s="8">
        <f t="shared" si="0"/>
        <v>5403</v>
      </c>
    </row>
    <row r="36" spans="2:20" x14ac:dyDescent="0.35">
      <c r="B36" s="15">
        <v>38</v>
      </c>
      <c r="C36" s="16" t="s">
        <v>131</v>
      </c>
      <c r="D36" s="17">
        <v>4</v>
      </c>
      <c r="E36" s="35">
        <v>45773</v>
      </c>
      <c r="F36" s="23">
        <v>45748</v>
      </c>
      <c r="G36" s="11" t="s">
        <v>859</v>
      </c>
      <c r="H36" s="11" t="s">
        <v>133</v>
      </c>
      <c r="I36" s="17" t="s">
        <v>134</v>
      </c>
      <c r="J36" s="18" t="s">
        <v>92</v>
      </c>
      <c r="K36" s="19">
        <v>4695</v>
      </c>
      <c r="L36" s="8">
        <v>845</v>
      </c>
      <c r="M36" s="8">
        <v>5540</v>
      </c>
      <c r="N36" s="8"/>
      <c r="O36" s="8">
        <v>5540</v>
      </c>
      <c r="P36" s="9" t="s">
        <v>26</v>
      </c>
      <c r="Q36" s="20" t="s">
        <v>93</v>
      </c>
      <c r="T36" s="8">
        <f t="shared" si="0"/>
        <v>5540</v>
      </c>
    </row>
    <row r="37" spans="2:20" ht="17.399999999999999" customHeight="1" x14ac:dyDescent="0.35">
      <c r="B37" s="15">
        <v>39</v>
      </c>
      <c r="C37" s="16" t="s">
        <v>135</v>
      </c>
      <c r="D37" s="17" t="s">
        <v>136</v>
      </c>
      <c r="E37" s="35">
        <v>45773</v>
      </c>
      <c r="F37" s="23">
        <v>45748</v>
      </c>
      <c r="G37" s="11" t="s">
        <v>859</v>
      </c>
      <c r="H37" s="7" t="s">
        <v>116</v>
      </c>
      <c r="I37" s="17" t="s">
        <v>137</v>
      </c>
      <c r="J37" s="18" t="s">
        <v>118</v>
      </c>
      <c r="K37" s="19">
        <v>15000</v>
      </c>
      <c r="L37" s="8">
        <v>2700</v>
      </c>
      <c r="M37" s="8">
        <v>17700</v>
      </c>
      <c r="N37" s="8"/>
      <c r="O37" s="8">
        <v>10200</v>
      </c>
      <c r="P37" s="9" t="s">
        <v>26</v>
      </c>
      <c r="Q37" s="20" t="s">
        <v>47</v>
      </c>
      <c r="T37" s="8">
        <f t="shared" si="0"/>
        <v>10200</v>
      </c>
    </row>
    <row r="38" spans="2:20" ht="13.75" customHeight="1" x14ac:dyDescent="0.35">
      <c r="B38" s="15">
        <v>40</v>
      </c>
      <c r="C38" s="16" t="s">
        <v>135</v>
      </c>
      <c r="D38" s="17" t="s">
        <v>22</v>
      </c>
      <c r="E38" s="35">
        <v>45773</v>
      </c>
      <c r="F38" s="23">
        <v>45748</v>
      </c>
      <c r="G38" s="11" t="s">
        <v>859</v>
      </c>
      <c r="H38" s="7" t="s">
        <v>138</v>
      </c>
      <c r="I38" s="17" t="s">
        <v>139</v>
      </c>
      <c r="J38" s="13" t="s">
        <v>140</v>
      </c>
      <c r="K38" s="19">
        <v>26520</v>
      </c>
      <c r="L38" s="8"/>
      <c r="M38" s="8">
        <v>26520</v>
      </c>
      <c r="N38" s="8"/>
      <c r="O38" s="8">
        <v>13260</v>
      </c>
      <c r="P38" s="9" t="s">
        <v>26</v>
      </c>
      <c r="Q38" s="12" t="s">
        <v>27</v>
      </c>
      <c r="T38" s="8">
        <f t="shared" si="0"/>
        <v>13260</v>
      </c>
    </row>
    <row r="39" spans="2:20" x14ac:dyDescent="0.35">
      <c r="B39" s="15">
        <v>41</v>
      </c>
      <c r="C39" s="16" t="s">
        <v>123</v>
      </c>
      <c r="D39" s="17">
        <v>5</v>
      </c>
      <c r="E39" s="35">
        <v>45773</v>
      </c>
      <c r="F39" s="23">
        <v>45748</v>
      </c>
      <c r="G39" s="11" t="s">
        <v>859</v>
      </c>
      <c r="H39" s="11" t="s">
        <v>141</v>
      </c>
      <c r="I39" s="17" t="s">
        <v>142</v>
      </c>
      <c r="J39" s="18" t="s">
        <v>102</v>
      </c>
      <c r="K39" s="19">
        <v>7195</v>
      </c>
      <c r="L39" s="8">
        <v>1295</v>
      </c>
      <c r="M39" s="8">
        <v>8490</v>
      </c>
      <c r="N39" s="8"/>
      <c r="O39" s="8">
        <v>8490</v>
      </c>
      <c r="P39" s="9" t="s">
        <v>26</v>
      </c>
      <c r="Q39" s="20" t="s">
        <v>67</v>
      </c>
      <c r="T39" s="8">
        <f t="shared" si="0"/>
        <v>8490</v>
      </c>
    </row>
    <row r="40" spans="2:20" x14ac:dyDescent="0.35">
      <c r="B40" s="15">
        <v>42</v>
      </c>
      <c r="C40" s="16">
        <v>45775</v>
      </c>
      <c r="D40" s="17"/>
      <c r="E40" s="35">
        <v>45775</v>
      </c>
      <c r="F40" s="23">
        <v>45748</v>
      </c>
      <c r="G40" s="11" t="s">
        <v>859</v>
      </c>
      <c r="H40" s="7" t="s">
        <v>143</v>
      </c>
      <c r="I40" s="17" t="s">
        <v>144</v>
      </c>
      <c r="J40" s="9" t="s">
        <v>144</v>
      </c>
      <c r="K40" s="19">
        <v>10</v>
      </c>
      <c r="L40" s="8">
        <v>2</v>
      </c>
      <c r="M40" s="8">
        <v>12</v>
      </c>
      <c r="N40" s="8"/>
      <c r="O40" s="8">
        <v>12</v>
      </c>
      <c r="P40" s="9" t="s">
        <v>41</v>
      </c>
      <c r="Q40" s="20" t="s">
        <v>858</v>
      </c>
      <c r="T40" s="8">
        <f t="shared" si="0"/>
        <v>12</v>
      </c>
    </row>
    <row r="41" spans="2:20" x14ac:dyDescent="0.35">
      <c r="B41" s="15">
        <v>43</v>
      </c>
      <c r="C41" s="16"/>
      <c r="D41" s="17"/>
      <c r="E41" s="35">
        <v>45762</v>
      </c>
      <c r="F41" s="22">
        <v>45717</v>
      </c>
      <c r="G41" s="11" t="s">
        <v>15</v>
      </c>
      <c r="H41" s="7" t="s">
        <v>145</v>
      </c>
      <c r="I41" s="17" t="s">
        <v>146</v>
      </c>
      <c r="J41" s="10" t="s">
        <v>147</v>
      </c>
      <c r="K41" s="19">
        <v>769625</v>
      </c>
      <c r="L41" s="8"/>
      <c r="M41" s="8">
        <v>769625</v>
      </c>
      <c r="N41" s="8"/>
      <c r="O41" s="8">
        <v>769625</v>
      </c>
      <c r="P41" s="9" t="s">
        <v>41</v>
      </c>
      <c r="Q41" s="12" t="s">
        <v>93</v>
      </c>
      <c r="T41" s="8">
        <f t="shared" si="0"/>
        <v>769625</v>
      </c>
    </row>
    <row r="42" spans="2:20" x14ac:dyDescent="0.35">
      <c r="B42" s="15">
        <v>45</v>
      </c>
      <c r="C42" s="16"/>
      <c r="D42" s="17"/>
      <c r="E42" s="35">
        <v>45783</v>
      </c>
      <c r="F42" s="23">
        <v>45778</v>
      </c>
      <c r="G42" s="11" t="s">
        <v>859</v>
      </c>
      <c r="H42" s="7" t="s">
        <v>116</v>
      </c>
      <c r="I42" s="17" t="s">
        <v>149</v>
      </c>
      <c r="J42" s="18" t="s">
        <v>150</v>
      </c>
      <c r="K42" s="21">
        <v>550914</v>
      </c>
      <c r="L42" s="8">
        <v>99165</v>
      </c>
      <c r="M42" s="8">
        <v>650079</v>
      </c>
      <c r="N42" s="8"/>
      <c r="O42" s="8">
        <v>75000</v>
      </c>
      <c r="P42" s="9" t="s">
        <v>41</v>
      </c>
      <c r="Q42" s="20" t="s">
        <v>47</v>
      </c>
      <c r="T42" s="8">
        <f t="shared" si="0"/>
        <v>75000</v>
      </c>
    </row>
    <row r="43" spans="2:20" x14ac:dyDescent="0.35">
      <c r="B43" s="15">
        <v>46</v>
      </c>
      <c r="C43" s="16" t="s">
        <v>151</v>
      </c>
      <c r="D43" s="17">
        <v>1</v>
      </c>
      <c r="E43" s="35">
        <v>45783</v>
      </c>
      <c r="F43" s="22">
        <v>45717</v>
      </c>
      <c r="G43" s="11" t="s">
        <v>15</v>
      </c>
      <c r="H43" s="7" t="s">
        <v>152</v>
      </c>
      <c r="I43" s="7" t="s">
        <v>153</v>
      </c>
      <c r="J43" s="18" t="s">
        <v>154</v>
      </c>
      <c r="K43" s="21">
        <v>450262</v>
      </c>
      <c r="L43" s="8">
        <v>81047</v>
      </c>
      <c r="M43" s="8">
        <v>531309</v>
      </c>
      <c r="N43" s="8">
        <v>4502.62</v>
      </c>
      <c r="O43" s="8">
        <v>526807</v>
      </c>
      <c r="P43" s="9" t="s">
        <v>41</v>
      </c>
      <c r="Q43" s="20" t="s">
        <v>155</v>
      </c>
      <c r="T43" s="8">
        <f t="shared" si="0"/>
        <v>531309.62</v>
      </c>
    </row>
    <row r="44" spans="2:20" x14ac:dyDescent="0.35">
      <c r="B44" s="15">
        <v>47</v>
      </c>
      <c r="C44" s="16" t="s">
        <v>156</v>
      </c>
      <c r="D44" s="17">
        <v>4566</v>
      </c>
      <c r="E44" s="35">
        <v>45783</v>
      </c>
      <c r="F44" s="23">
        <v>45778</v>
      </c>
      <c r="G44" s="11" t="s">
        <v>859</v>
      </c>
      <c r="H44" s="7" t="s">
        <v>23</v>
      </c>
      <c r="I44" s="17" t="s">
        <v>157</v>
      </c>
      <c r="J44" s="18" t="s">
        <v>158</v>
      </c>
      <c r="K44" s="19">
        <v>9750</v>
      </c>
      <c r="L44" s="8">
        <v>1755</v>
      </c>
      <c r="M44" s="8">
        <v>11505</v>
      </c>
      <c r="N44" s="8"/>
      <c r="O44" s="8">
        <v>11505</v>
      </c>
      <c r="P44" s="9" t="s">
        <v>26</v>
      </c>
      <c r="Q44" s="20" t="s">
        <v>47</v>
      </c>
      <c r="T44" s="8">
        <f t="shared" si="0"/>
        <v>11505</v>
      </c>
    </row>
    <row r="45" spans="2:20" x14ac:dyDescent="0.35">
      <c r="B45" s="15">
        <v>48</v>
      </c>
      <c r="C45" s="16">
        <v>45965</v>
      </c>
      <c r="D45" s="17"/>
      <c r="E45" s="35">
        <v>45783</v>
      </c>
      <c r="F45" s="23">
        <v>45778</v>
      </c>
      <c r="G45" s="11" t="s">
        <v>859</v>
      </c>
      <c r="H45" s="11" t="s">
        <v>159</v>
      </c>
      <c r="I45" s="17" t="s">
        <v>160</v>
      </c>
      <c r="J45" s="18" t="s">
        <v>161</v>
      </c>
      <c r="K45" s="19">
        <v>27000</v>
      </c>
      <c r="L45" s="8"/>
      <c r="M45" s="8">
        <v>27000</v>
      </c>
      <c r="N45" s="8"/>
      <c r="O45" s="8">
        <v>27000</v>
      </c>
      <c r="P45" s="9" t="s">
        <v>26</v>
      </c>
      <c r="Q45" s="20" t="s">
        <v>27</v>
      </c>
      <c r="T45" s="8">
        <f t="shared" si="0"/>
        <v>27000</v>
      </c>
    </row>
    <row r="46" spans="2:20" x14ac:dyDescent="0.35">
      <c r="B46" s="15">
        <v>49</v>
      </c>
      <c r="C46" s="16" t="s">
        <v>162</v>
      </c>
      <c r="D46" s="17" t="s">
        <v>163</v>
      </c>
      <c r="E46" s="35">
        <v>45783</v>
      </c>
      <c r="F46" s="23">
        <v>45778</v>
      </c>
      <c r="G46" s="11" t="s">
        <v>859</v>
      </c>
      <c r="H46" s="7" t="s">
        <v>80</v>
      </c>
      <c r="I46" s="17" t="s">
        <v>164</v>
      </c>
      <c r="J46" s="10" t="s">
        <v>82</v>
      </c>
      <c r="K46" s="21">
        <v>505000</v>
      </c>
      <c r="L46" s="8">
        <v>90900</v>
      </c>
      <c r="M46" s="8">
        <v>595900</v>
      </c>
      <c r="N46" s="8"/>
      <c r="O46" s="8">
        <v>297950</v>
      </c>
      <c r="P46" s="18" t="s">
        <v>19</v>
      </c>
      <c r="Q46" s="12" t="s">
        <v>27</v>
      </c>
      <c r="T46" s="8">
        <f t="shared" si="0"/>
        <v>297950</v>
      </c>
    </row>
    <row r="47" spans="2:20" x14ac:dyDescent="0.35">
      <c r="B47" s="15">
        <v>50</v>
      </c>
      <c r="C47" s="16" t="s">
        <v>162</v>
      </c>
      <c r="D47" s="17">
        <v>252</v>
      </c>
      <c r="E47" s="35">
        <v>45783</v>
      </c>
      <c r="F47" s="22">
        <v>45748</v>
      </c>
      <c r="G47" s="11" t="s">
        <v>859</v>
      </c>
      <c r="H47" s="11" t="s">
        <v>53</v>
      </c>
      <c r="I47" s="17" t="s">
        <v>165</v>
      </c>
      <c r="J47" s="18" t="s">
        <v>55</v>
      </c>
      <c r="K47" s="19">
        <v>28168</v>
      </c>
      <c r="L47" s="8">
        <v>3380</v>
      </c>
      <c r="M47" s="8">
        <v>31548</v>
      </c>
      <c r="N47" s="8"/>
      <c r="O47" s="8">
        <v>31548</v>
      </c>
      <c r="P47" s="9" t="s">
        <v>41</v>
      </c>
      <c r="Q47" s="20" t="s">
        <v>27</v>
      </c>
      <c r="T47" s="8">
        <f t="shared" si="0"/>
        <v>31548</v>
      </c>
    </row>
    <row r="48" spans="2:20" x14ac:dyDescent="0.35">
      <c r="B48" s="15">
        <v>51</v>
      </c>
      <c r="C48" s="16" t="s">
        <v>156</v>
      </c>
      <c r="D48" s="17">
        <v>9387</v>
      </c>
      <c r="E48" s="35">
        <v>45783</v>
      </c>
      <c r="F48" s="23">
        <v>45778</v>
      </c>
      <c r="G48" s="11" t="s">
        <v>859</v>
      </c>
      <c r="H48" s="11" t="s">
        <v>166</v>
      </c>
      <c r="I48" s="17" t="s">
        <v>167</v>
      </c>
      <c r="J48" s="18" t="s">
        <v>46</v>
      </c>
      <c r="K48" s="19">
        <v>10600</v>
      </c>
      <c r="L48" s="8">
        <v>1908</v>
      </c>
      <c r="M48" s="8">
        <v>12508</v>
      </c>
      <c r="N48" s="8"/>
      <c r="O48" s="8">
        <v>12508</v>
      </c>
      <c r="P48" s="9" t="s">
        <v>26</v>
      </c>
      <c r="Q48" s="12" t="s">
        <v>67</v>
      </c>
      <c r="T48" s="8">
        <f t="shared" si="0"/>
        <v>12508</v>
      </c>
    </row>
    <row r="49" spans="2:20" x14ac:dyDescent="0.35">
      <c r="B49" s="15">
        <v>52</v>
      </c>
      <c r="C49" s="16" t="s">
        <v>119</v>
      </c>
      <c r="D49" s="17">
        <v>1788</v>
      </c>
      <c r="E49" s="35">
        <v>45783</v>
      </c>
      <c r="F49" s="23">
        <v>45778</v>
      </c>
      <c r="G49" s="11" t="s">
        <v>859</v>
      </c>
      <c r="H49" s="7" t="s">
        <v>23</v>
      </c>
      <c r="I49" s="17" t="s">
        <v>168</v>
      </c>
      <c r="J49" s="10" t="s">
        <v>46</v>
      </c>
      <c r="K49" s="19">
        <v>6800</v>
      </c>
      <c r="L49" s="8">
        <v>1224</v>
      </c>
      <c r="M49" s="8">
        <v>8424</v>
      </c>
      <c r="N49" s="8"/>
      <c r="O49" s="8">
        <v>8424</v>
      </c>
      <c r="P49" s="9" t="s">
        <v>26</v>
      </c>
      <c r="Q49" s="12" t="s">
        <v>67</v>
      </c>
      <c r="T49" s="8">
        <f t="shared" si="0"/>
        <v>8424</v>
      </c>
    </row>
    <row r="50" spans="2:20" x14ac:dyDescent="0.35">
      <c r="B50" s="15">
        <v>53</v>
      </c>
      <c r="C50" s="16">
        <v>45662</v>
      </c>
      <c r="D50" s="17" t="s">
        <v>169</v>
      </c>
      <c r="E50" s="35">
        <v>45783</v>
      </c>
      <c r="F50" s="22">
        <v>45748</v>
      </c>
      <c r="G50" s="11" t="s">
        <v>859</v>
      </c>
      <c r="H50" s="11" t="s">
        <v>38</v>
      </c>
      <c r="I50" s="17" t="s">
        <v>170</v>
      </c>
      <c r="J50" s="18" t="s">
        <v>40</v>
      </c>
      <c r="K50" s="19">
        <v>8980</v>
      </c>
      <c r="L50" s="8">
        <v>1616</v>
      </c>
      <c r="M50" s="8">
        <v>10596</v>
      </c>
      <c r="N50" s="8">
        <v>180</v>
      </c>
      <c r="O50" s="8">
        <v>10417</v>
      </c>
      <c r="P50" s="9" t="s">
        <v>41</v>
      </c>
      <c r="Q50" s="20" t="s">
        <v>27</v>
      </c>
      <c r="T50" s="8">
        <f t="shared" si="0"/>
        <v>10597</v>
      </c>
    </row>
    <row r="51" spans="2:20" x14ac:dyDescent="0.35">
      <c r="B51" s="15">
        <v>54</v>
      </c>
      <c r="C51" s="16" t="s">
        <v>171</v>
      </c>
      <c r="D51" s="17" t="s">
        <v>22</v>
      </c>
      <c r="E51" s="35">
        <v>45783</v>
      </c>
      <c r="F51" s="23">
        <v>45778</v>
      </c>
      <c r="G51" s="11" t="s">
        <v>859</v>
      </c>
      <c r="H51" s="11" t="s">
        <v>172</v>
      </c>
      <c r="I51" s="17" t="s">
        <v>173</v>
      </c>
      <c r="J51" s="18" t="s">
        <v>92</v>
      </c>
      <c r="K51" s="19">
        <v>32300</v>
      </c>
      <c r="L51" s="8">
        <v>5814</v>
      </c>
      <c r="M51" s="8">
        <v>38114</v>
      </c>
      <c r="N51" s="8"/>
      <c r="O51" s="8">
        <v>19057</v>
      </c>
      <c r="P51" s="9" t="s">
        <v>26</v>
      </c>
      <c r="Q51" s="20" t="s">
        <v>93</v>
      </c>
      <c r="T51" s="8">
        <f t="shared" si="0"/>
        <v>19057</v>
      </c>
    </row>
    <row r="52" spans="2:20" x14ac:dyDescent="0.35">
      <c r="B52" s="15">
        <v>55</v>
      </c>
      <c r="C52" s="16" t="s">
        <v>162</v>
      </c>
      <c r="D52" s="17">
        <v>1202</v>
      </c>
      <c r="E52" s="35">
        <v>45783</v>
      </c>
      <c r="F52" s="23">
        <v>45778</v>
      </c>
      <c r="G52" s="11" t="s">
        <v>859</v>
      </c>
      <c r="H52" s="7" t="s">
        <v>174</v>
      </c>
      <c r="I52" s="17" t="s">
        <v>175</v>
      </c>
      <c r="J52" s="10" t="s">
        <v>176</v>
      </c>
      <c r="K52" s="19">
        <v>93800</v>
      </c>
      <c r="L52" s="8"/>
      <c r="M52" s="8">
        <v>93800</v>
      </c>
      <c r="N52" s="8"/>
      <c r="O52" s="8">
        <v>93800</v>
      </c>
      <c r="P52" s="9" t="s">
        <v>41</v>
      </c>
      <c r="Q52" s="20" t="s">
        <v>155</v>
      </c>
      <c r="T52" s="8">
        <f t="shared" si="0"/>
        <v>93800</v>
      </c>
    </row>
    <row r="53" spans="2:20" x14ac:dyDescent="0.35">
      <c r="B53" s="15">
        <v>56</v>
      </c>
      <c r="C53" s="16" t="s">
        <v>162</v>
      </c>
      <c r="D53" s="17">
        <v>9390</v>
      </c>
      <c r="E53" s="35">
        <v>45784</v>
      </c>
      <c r="F53" s="23">
        <v>45778</v>
      </c>
      <c r="G53" s="11" t="s">
        <v>859</v>
      </c>
      <c r="H53" s="11" t="s">
        <v>166</v>
      </c>
      <c r="I53" s="17" t="s">
        <v>177</v>
      </c>
      <c r="J53" s="18" t="s">
        <v>46</v>
      </c>
      <c r="K53" s="19">
        <v>39200</v>
      </c>
      <c r="L53" s="8">
        <v>7056</v>
      </c>
      <c r="M53" s="8">
        <v>46256</v>
      </c>
      <c r="N53" s="8"/>
      <c r="O53" s="8">
        <v>46256</v>
      </c>
      <c r="P53" s="9" t="s">
        <v>26</v>
      </c>
      <c r="Q53" s="12" t="s">
        <v>67</v>
      </c>
      <c r="T53" s="8">
        <f t="shared" si="0"/>
        <v>46256</v>
      </c>
    </row>
    <row r="54" spans="2:20" x14ac:dyDescent="0.35">
      <c r="B54" s="15">
        <v>57</v>
      </c>
      <c r="C54" s="16" t="s">
        <v>178</v>
      </c>
      <c r="D54" s="17"/>
      <c r="E54" s="35">
        <v>45784</v>
      </c>
      <c r="F54" s="23">
        <v>45778</v>
      </c>
      <c r="G54" s="11" t="s">
        <v>859</v>
      </c>
      <c r="H54" s="11" t="s">
        <v>179</v>
      </c>
      <c r="I54" s="17" t="s">
        <v>180</v>
      </c>
      <c r="J54" s="18" t="s">
        <v>92</v>
      </c>
      <c r="K54" s="19">
        <v>2500</v>
      </c>
      <c r="L54" s="8"/>
      <c r="M54" s="8">
        <v>2500</v>
      </c>
      <c r="N54" s="8"/>
      <c r="O54" s="8">
        <v>2500</v>
      </c>
      <c r="P54" s="9" t="s">
        <v>26</v>
      </c>
      <c r="Q54" s="20" t="s">
        <v>47</v>
      </c>
      <c r="T54" s="8">
        <f t="shared" si="0"/>
        <v>2500</v>
      </c>
    </row>
    <row r="55" spans="2:20" x14ac:dyDescent="0.35">
      <c r="B55" s="15">
        <v>58</v>
      </c>
      <c r="C55" s="16">
        <v>45662</v>
      </c>
      <c r="D55" s="17" t="s">
        <v>181</v>
      </c>
      <c r="E55" s="35">
        <v>45784</v>
      </c>
      <c r="F55" s="23">
        <v>45778</v>
      </c>
      <c r="G55" s="11" t="s">
        <v>859</v>
      </c>
      <c r="H55" s="11" t="s">
        <v>108</v>
      </c>
      <c r="I55" s="17" t="s">
        <v>109</v>
      </c>
      <c r="J55" s="18" t="s">
        <v>110</v>
      </c>
      <c r="K55" s="19">
        <v>89888</v>
      </c>
      <c r="L55" s="8">
        <v>16180</v>
      </c>
      <c r="M55" s="8">
        <v>106068</v>
      </c>
      <c r="N55" s="8">
        <v>8989</v>
      </c>
      <c r="O55" s="8">
        <v>97079</v>
      </c>
      <c r="P55" s="9" t="s">
        <v>41</v>
      </c>
      <c r="Q55" s="20" t="s">
        <v>858</v>
      </c>
      <c r="T55" s="8">
        <f t="shared" si="0"/>
        <v>106068</v>
      </c>
    </row>
    <row r="56" spans="2:20" x14ac:dyDescent="0.35">
      <c r="B56" s="15">
        <v>59</v>
      </c>
      <c r="C56" s="16">
        <v>45662</v>
      </c>
      <c r="D56" s="17"/>
      <c r="E56" s="35">
        <v>45784</v>
      </c>
      <c r="F56" s="23">
        <v>45778</v>
      </c>
      <c r="G56" s="11" t="s">
        <v>859</v>
      </c>
      <c r="H56" s="7" t="s">
        <v>120</v>
      </c>
      <c r="I56" s="17" t="s">
        <v>182</v>
      </c>
      <c r="J56" s="10" t="s">
        <v>122</v>
      </c>
      <c r="K56" s="19">
        <v>2900</v>
      </c>
      <c r="L56" s="8"/>
      <c r="M56" s="8">
        <v>2900</v>
      </c>
      <c r="N56" s="8"/>
      <c r="O56" s="8">
        <v>2900</v>
      </c>
      <c r="P56" s="9" t="s">
        <v>26</v>
      </c>
      <c r="Q56" s="12" t="s">
        <v>27</v>
      </c>
      <c r="T56" s="8">
        <f t="shared" si="0"/>
        <v>2900</v>
      </c>
    </row>
    <row r="57" spans="2:20" x14ac:dyDescent="0.35">
      <c r="B57" s="15">
        <v>60</v>
      </c>
      <c r="C57" s="16">
        <v>45662</v>
      </c>
      <c r="D57" s="17" t="s">
        <v>183</v>
      </c>
      <c r="E57" s="35">
        <v>45784</v>
      </c>
      <c r="F57" s="22">
        <v>45748</v>
      </c>
      <c r="G57" s="11" t="s">
        <v>859</v>
      </c>
      <c r="H57" s="7" t="s">
        <v>64</v>
      </c>
      <c r="I57" s="17" t="s">
        <v>184</v>
      </c>
      <c r="J57" s="10" t="s">
        <v>66</v>
      </c>
      <c r="K57" s="21">
        <v>103000</v>
      </c>
      <c r="L57" s="8">
        <v>18540</v>
      </c>
      <c r="M57" s="8">
        <v>121540</v>
      </c>
      <c r="N57" s="8">
        <v>1030</v>
      </c>
      <c r="O57" s="8">
        <v>120510</v>
      </c>
      <c r="P57" s="9" t="s">
        <v>41</v>
      </c>
      <c r="Q57" s="20" t="s">
        <v>67</v>
      </c>
      <c r="T57" s="8">
        <f t="shared" si="0"/>
        <v>121540</v>
      </c>
    </row>
    <row r="58" spans="2:20" x14ac:dyDescent="0.35">
      <c r="B58" s="15">
        <v>61</v>
      </c>
      <c r="C58" s="16" t="s">
        <v>115</v>
      </c>
      <c r="D58" s="17" t="s">
        <v>22</v>
      </c>
      <c r="E58" s="35">
        <v>45784</v>
      </c>
      <c r="F58" s="23">
        <v>45778</v>
      </c>
      <c r="G58" s="11" t="s">
        <v>859</v>
      </c>
      <c r="H58" s="11" t="s">
        <v>185</v>
      </c>
      <c r="I58" s="17" t="s">
        <v>186</v>
      </c>
      <c r="J58" s="18" t="s">
        <v>187</v>
      </c>
      <c r="K58" s="19">
        <v>35000</v>
      </c>
      <c r="L58" s="8">
        <v>6300</v>
      </c>
      <c r="M58" s="8">
        <v>41300</v>
      </c>
      <c r="N58" s="8"/>
      <c r="O58" s="8">
        <v>17500</v>
      </c>
      <c r="P58" s="9" t="s">
        <v>26</v>
      </c>
      <c r="Q58" s="20" t="s">
        <v>47</v>
      </c>
      <c r="T58" s="8">
        <f t="shared" si="0"/>
        <v>17500</v>
      </c>
    </row>
    <row r="59" spans="2:20" x14ac:dyDescent="0.35">
      <c r="B59" s="15">
        <v>62</v>
      </c>
      <c r="C59" s="16">
        <v>45662</v>
      </c>
      <c r="D59" s="17" t="s">
        <v>188</v>
      </c>
      <c r="E59" s="35">
        <v>45784</v>
      </c>
      <c r="F59" s="23">
        <v>45778</v>
      </c>
      <c r="G59" s="11" t="s">
        <v>859</v>
      </c>
      <c r="H59" s="7" t="s">
        <v>16</v>
      </c>
      <c r="I59" s="17" t="s">
        <v>189</v>
      </c>
      <c r="J59" s="18" t="s">
        <v>18</v>
      </c>
      <c r="K59" s="21">
        <v>1941687</v>
      </c>
      <c r="L59" s="8">
        <v>349504</v>
      </c>
      <c r="M59" s="8">
        <v>2291191</v>
      </c>
      <c r="N59" s="8"/>
      <c r="O59" s="8">
        <v>599256</v>
      </c>
      <c r="P59" s="18" t="s">
        <v>19</v>
      </c>
      <c r="Q59" s="20" t="s">
        <v>20</v>
      </c>
      <c r="T59" s="8">
        <f t="shared" si="0"/>
        <v>599256</v>
      </c>
    </row>
    <row r="60" spans="2:20" x14ac:dyDescent="0.35">
      <c r="B60" s="15">
        <v>63</v>
      </c>
      <c r="C60" s="16">
        <v>45662</v>
      </c>
      <c r="D60" s="17" t="s">
        <v>190</v>
      </c>
      <c r="E60" s="35">
        <v>45784</v>
      </c>
      <c r="F60" s="23">
        <v>45778</v>
      </c>
      <c r="G60" s="11" t="s">
        <v>859</v>
      </c>
      <c r="H60" s="11" t="s">
        <v>191</v>
      </c>
      <c r="I60" s="17" t="s">
        <v>192</v>
      </c>
      <c r="J60" s="18" t="s">
        <v>193</v>
      </c>
      <c r="K60" s="19">
        <v>29408</v>
      </c>
      <c r="L60" s="8">
        <v>5293</v>
      </c>
      <c r="M60" s="8">
        <v>34701</v>
      </c>
      <c r="N60" s="8"/>
      <c r="O60" s="8">
        <v>34701</v>
      </c>
      <c r="P60" s="18" t="s">
        <v>19</v>
      </c>
      <c r="Q60" s="20" t="s">
        <v>27</v>
      </c>
      <c r="T60" s="8">
        <f t="shared" si="0"/>
        <v>34701</v>
      </c>
    </row>
    <row r="61" spans="2:20" x14ac:dyDescent="0.35">
      <c r="B61" s="15">
        <v>64</v>
      </c>
      <c r="C61" s="16" t="s">
        <v>194</v>
      </c>
      <c r="D61" s="17">
        <v>101</v>
      </c>
      <c r="E61" s="35">
        <v>45784</v>
      </c>
      <c r="F61" s="23">
        <v>45778</v>
      </c>
      <c r="G61" s="11" t="s">
        <v>859</v>
      </c>
      <c r="H61" s="11" t="s">
        <v>195</v>
      </c>
      <c r="I61" s="17" t="s">
        <v>196</v>
      </c>
      <c r="J61" s="10" t="s">
        <v>197</v>
      </c>
      <c r="K61" s="19">
        <v>9750</v>
      </c>
      <c r="L61" s="8"/>
      <c r="M61" s="8">
        <v>9750</v>
      </c>
      <c r="N61" s="8"/>
      <c r="O61" s="8">
        <v>9750</v>
      </c>
      <c r="P61" s="9" t="s">
        <v>26</v>
      </c>
      <c r="Q61" s="12" t="s">
        <v>241</v>
      </c>
      <c r="T61" s="8">
        <f t="shared" si="0"/>
        <v>9750</v>
      </c>
    </row>
    <row r="62" spans="2:20" x14ac:dyDescent="0.35">
      <c r="B62" s="15">
        <v>65</v>
      </c>
      <c r="C62" s="16" t="s">
        <v>198</v>
      </c>
      <c r="D62" s="17">
        <v>27</v>
      </c>
      <c r="E62" s="35">
        <v>45788</v>
      </c>
      <c r="F62" s="23">
        <v>45778</v>
      </c>
      <c r="G62" s="11" t="s">
        <v>859</v>
      </c>
      <c r="H62" s="11" t="s">
        <v>28</v>
      </c>
      <c r="I62" s="17" t="s">
        <v>199</v>
      </c>
      <c r="J62" s="18" t="s">
        <v>30</v>
      </c>
      <c r="K62" s="21">
        <v>609170</v>
      </c>
      <c r="L62" s="8">
        <v>109651</v>
      </c>
      <c r="M62" s="8">
        <v>718821</v>
      </c>
      <c r="N62" s="8">
        <v>6091.7</v>
      </c>
      <c r="O62" s="8">
        <v>202992</v>
      </c>
      <c r="P62" s="18" t="s">
        <v>19</v>
      </c>
      <c r="Q62" s="20" t="s">
        <v>31</v>
      </c>
      <c r="T62" s="8">
        <f t="shared" si="0"/>
        <v>209083.7</v>
      </c>
    </row>
    <row r="63" spans="2:20" x14ac:dyDescent="0.35">
      <c r="B63" s="15">
        <v>66</v>
      </c>
      <c r="C63" s="16">
        <v>45782</v>
      </c>
      <c r="D63" s="17">
        <v>19612</v>
      </c>
      <c r="E63" s="35">
        <v>45788</v>
      </c>
      <c r="F63" s="23">
        <v>45778</v>
      </c>
      <c r="G63" s="11" t="s">
        <v>859</v>
      </c>
      <c r="H63" s="11" t="s">
        <v>200</v>
      </c>
      <c r="I63" s="17" t="s">
        <v>201</v>
      </c>
      <c r="J63" s="18" t="s">
        <v>89</v>
      </c>
      <c r="K63" s="19">
        <v>13150</v>
      </c>
      <c r="L63" s="8">
        <v>2367</v>
      </c>
      <c r="M63" s="8">
        <v>15517</v>
      </c>
      <c r="N63" s="8"/>
      <c r="O63" s="8">
        <v>15517</v>
      </c>
      <c r="P63" s="9" t="s">
        <v>41</v>
      </c>
      <c r="Q63" s="12" t="s">
        <v>67</v>
      </c>
      <c r="T63" s="8">
        <f t="shared" si="0"/>
        <v>15517</v>
      </c>
    </row>
    <row r="64" spans="2:20" x14ac:dyDescent="0.35">
      <c r="B64" s="15">
        <v>67</v>
      </c>
      <c r="C64" s="16"/>
      <c r="D64" s="17"/>
      <c r="E64" s="35">
        <v>45783</v>
      </c>
      <c r="F64" s="23">
        <v>45778</v>
      </c>
      <c r="G64" s="11" t="s">
        <v>859</v>
      </c>
      <c r="H64" s="7" t="s">
        <v>49</v>
      </c>
      <c r="I64" s="17" t="s">
        <v>202</v>
      </c>
      <c r="J64" s="10" t="s">
        <v>51</v>
      </c>
      <c r="K64" s="19">
        <v>7500</v>
      </c>
      <c r="L64" s="8">
        <v>1350</v>
      </c>
      <c r="M64" s="8">
        <v>8850</v>
      </c>
      <c r="N64" s="8">
        <v>75</v>
      </c>
      <c r="O64" s="8">
        <v>8775</v>
      </c>
      <c r="P64" s="9" t="s">
        <v>41</v>
      </c>
      <c r="Q64" s="20" t="s">
        <v>31</v>
      </c>
      <c r="T64" s="8">
        <f t="shared" si="0"/>
        <v>8850</v>
      </c>
    </row>
    <row r="65" spans="2:20" x14ac:dyDescent="0.35">
      <c r="B65" s="15">
        <v>68</v>
      </c>
      <c r="C65" s="16">
        <v>45662</v>
      </c>
      <c r="D65" s="17" t="s">
        <v>203</v>
      </c>
      <c r="E65" s="35">
        <v>45788</v>
      </c>
      <c r="F65" s="22">
        <v>45748</v>
      </c>
      <c r="G65" s="11" t="s">
        <v>859</v>
      </c>
      <c r="H65" s="7" t="s">
        <v>49</v>
      </c>
      <c r="I65" s="17" t="s">
        <v>202</v>
      </c>
      <c r="J65" s="10" t="s">
        <v>51</v>
      </c>
      <c r="K65" s="19">
        <v>7500</v>
      </c>
      <c r="L65" s="8">
        <v>1350</v>
      </c>
      <c r="M65" s="8">
        <v>8850</v>
      </c>
      <c r="N65" s="8">
        <v>75</v>
      </c>
      <c r="O65" s="8">
        <v>8775</v>
      </c>
      <c r="P65" s="9" t="s">
        <v>41</v>
      </c>
      <c r="Q65" s="20" t="s">
        <v>31</v>
      </c>
      <c r="T65" s="8">
        <f t="shared" si="0"/>
        <v>8850</v>
      </c>
    </row>
    <row r="66" spans="2:20" x14ac:dyDescent="0.35">
      <c r="B66" s="15">
        <v>69</v>
      </c>
      <c r="C66" s="16">
        <v>45721</v>
      </c>
      <c r="D66" s="17">
        <v>1208</v>
      </c>
      <c r="E66" s="35">
        <v>45788</v>
      </c>
      <c r="F66" s="23">
        <v>45778</v>
      </c>
      <c r="G66" s="11" t="s">
        <v>859</v>
      </c>
      <c r="H66" s="7" t="s">
        <v>174</v>
      </c>
      <c r="I66" s="17" t="s">
        <v>204</v>
      </c>
      <c r="J66" s="10" t="s">
        <v>176</v>
      </c>
      <c r="K66" s="19">
        <v>17350</v>
      </c>
      <c r="L66" s="8"/>
      <c r="M66" s="8">
        <v>17350</v>
      </c>
      <c r="N66" s="8"/>
      <c r="O66" s="8">
        <v>17350</v>
      </c>
      <c r="P66" s="9" t="s">
        <v>26</v>
      </c>
      <c r="Q66" s="20" t="s">
        <v>155</v>
      </c>
      <c r="T66" s="8">
        <f t="shared" si="0"/>
        <v>17350</v>
      </c>
    </row>
    <row r="67" spans="2:20" x14ac:dyDescent="0.35">
      <c r="B67" s="15">
        <v>70</v>
      </c>
      <c r="C67" s="16">
        <v>45993</v>
      </c>
      <c r="D67" s="17" t="s">
        <v>205</v>
      </c>
      <c r="E67" s="35">
        <v>45788</v>
      </c>
      <c r="F67" s="23">
        <v>45778</v>
      </c>
      <c r="G67" s="11" t="s">
        <v>859</v>
      </c>
      <c r="H67" s="11" t="s">
        <v>185</v>
      </c>
      <c r="I67" s="17" t="s">
        <v>206</v>
      </c>
      <c r="J67" s="18" t="s">
        <v>187</v>
      </c>
      <c r="K67" s="21">
        <v>605530</v>
      </c>
      <c r="L67" s="8">
        <v>108995</v>
      </c>
      <c r="M67" s="8">
        <v>714525</v>
      </c>
      <c r="N67" s="8"/>
      <c r="O67" s="8">
        <v>121106</v>
      </c>
      <c r="P67" s="18" t="s">
        <v>19</v>
      </c>
      <c r="Q67" s="20" t="s">
        <v>47</v>
      </c>
      <c r="T67" s="8">
        <f t="shared" ref="T67:T130" si="1">N67+O67</f>
        <v>121106</v>
      </c>
    </row>
    <row r="68" spans="2:20" x14ac:dyDescent="0.35">
      <c r="B68" s="15">
        <v>71</v>
      </c>
      <c r="C68" s="16" t="s">
        <v>148</v>
      </c>
      <c r="D68" s="17">
        <v>166</v>
      </c>
      <c r="E68" s="35">
        <v>45788</v>
      </c>
      <c r="F68" s="23">
        <v>45778</v>
      </c>
      <c r="G68" s="11" t="s">
        <v>859</v>
      </c>
      <c r="H68" s="11" t="s">
        <v>94</v>
      </c>
      <c r="I68" s="17" t="s">
        <v>207</v>
      </c>
      <c r="J68" s="18" t="s">
        <v>96</v>
      </c>
      <c r="K68" s="19">
        <v>21000</v>
      </c>
      <c r="L68" s="8">
        <v>3780</v>
      </c>
      <c r="M68" s="8">
        <v>24780</v>
      </c>
      <c r="N68" s="8"/>
      <c r="O68" s="8">
        <v>12390</v>
      </c>
      <c r="P68" s="9" t="s">
        <v>26</v>
      </c>
      <c r="Q68" s="20" t="s">
        <v>47</v>
      </c>
      <c r="T68" s="8">
        <f t="shared" si="1"/>
        <v>12390</v>
      </c>
    </row>
    <row r="69" spans="2:20" x14ac:dyDescent="0.35">
      <c r="B69" s="15">
        <v>72</v>
      </c>
      <c r="C69" s="16">
        <v>45721</v>
      </c>
      <c r="D69" s="17" t="s">
        <v>208</v>
      </c>
      <c r="E69" s="35">
        <v>45788</v>
      </c>
      <c r="F69" s="22">
        <v>45748</v>
      </c>
      <c r="G69" s="11" t="s">
        <v>859</v>
      </c>
      <c r="H69" s="7" t="s">
        <v>69</v>
      </c>
      <c r="I69" s="17" t="s">
        <v>209</v>
      </c>
      <c r="J69" s="18" t="s">
        <v>71</v>
      </c>
      <c r="K69" s="19">
        <v>43411</v>
      </c>
      <c r="L69" s="8">
        <v>7814</v>
      </c>
      <c r="M69" s="8">
        <v>51225</v>
      </c>
      <c r="N69" s="8">
        <v>868</v>
      </c>
      <c r="O69" s="8">
        <v>50357</v>
      </c>
      <c r="P69" s="9" t="s">
        <v>41</v>
      </c>
      <c r="Q69" s="20" t="s">
        <v>31</v>
      </c>
      <c r="T69" s="8">
        <f t="shared" si="1"/>
        <v>51225</v>
      </c>
    </row>
    <row r="70" spans="2:20" x14ac:dyDescent="0.35">
      <c r="B70" s="15">
        <v>73</v>
      </c>
      <c r="C70" s="16">
        <v>45721</v>
      </c>
      <c r="D70" s="17" t="s">
        <v>210</v>
      </c>
      <c r="E70" s="35">
        <v>45788</v>
      </c>
      <c r="F70" s="22">
        <v>45748</v>
      </c>
      <c r="G70" s="11" t="s">
        <v>859</v>
      </c>
      <c r="H70" s="7" t="s">
        <v>69</v>
      </c>
      <c r="I70" s="17" t="s">
        <v>211</v>
      </c>
      <c r="J70" s="18" t="s">
        <v>71</v>
      </c>
      <c r="K70" s="21">
        <v>161644</v>
      </c>
      <c r="L70" s="8">
        <v>29096</v>
      </c>
      <c r="M70" s="8">
        <v>190739</v>
      </c>
      <c r="N70" s="8">
        <v>3233</v>
      </c>
      <c r="O70" s="8">
        <v>187507</v>
      </c>
      <c r="P70" s="9" t="s">
        <v>41</v>
      </c>
      <c r="Q70" s="20" t="s">
        <v>31</v>
      </c>
      <c r="T70" s="8">
        <f t="shared" si="1"/>
        <v>190740</v>
      </c>
    </row>
    <row r="71" spans="2:20" x14ac:dyDescent="0.35">
      <c r="B71" s="15">
        <v>74</v>
      </c>
      <c r="C71" s="16">
        <v>45721</v>
      </c>
      <c r="D71" s="17" t="s">
        <v>212</v>
      </c>
      <c r="E71" s="35">
        <v>45790</v>
      </c>
      <c r="F71" s="22">
        <v>45748</v>
      </c>
      <c r="G71" s="11" t="s">
        <v>859</v>
      </c>
      <c r="H71" s="7" t="s">
        <v>69</v>
      </c>
      <c r="I71" s="17" t="s">
        <v>213</v>
      </c>
      <c r="J71" s="18" t="s">
        <v>71</v>
      </c>
      <c r="K71" s="21">
        <v>1646794</v>
      </c>
      <c r="L71" s="8">
        <v>296423</v>
      </c>
      <c r="M71" s="8">
        <v>1943217</v>
      </c>
      <c r="N71" s="8">
        <v>32935.879999999997</v>
      </c>
      <c r="O71" s="8">
        <v>1910281</v>
      </c>
      <c r="P71" s="9" t="s">
        <v>41</v>
      </c>
      <c r="Q71" s="20" t="s">
        <v>31</v>
      </c>
      <c r="T71" s="8">
        <f t="shared" si="1"/>
        <v>1943216.88</v>
      </c>
    </row>
    <row r="72" spans="2:20" x14ac:dyDescent="0.35">
      <c r="B72" s="15">
        <v>75</v>
      </c>
      <c r="C72" s="16">
        <v>45813</v>
      </c>
      <c r="D72" s="17">
        <v>2584</v>
      </c>
      <c r="E72" s="35">
        <v>45790</v>
      </c>
      <c r="F72" s="22">
        <v>45748</v>
      </c>
      <c r="G72" s="11" t="s">
        <v>859</v>
      </c>
      <c r="H72" s="7" t="s">
        <v>83</v>
      </c>
      <c r="I72" s="17" t="s">
        <v>214</v>
      </c>
      <c r="J72" s="10" t="s">
        <v>85</v>
      </c>
      <c r="K72" s="21">
        <v>352880</v>
      </c>
      <c r="L72" s="8">
        <v>63518</v>
      </c>
      <c r="M72" s="8">
        <v>416398</v>
      </c>
      <c r="N72" s="8">
        <v>7058</v>
      </c>
      <c r="O72" s="8">
        <v>409341</v>
      </c>
      <c r="P72" s="9" t="s">
        <v>41</v>
      </c>
      <c r="Q72" s="12" t="s">
        <v>27</v>
      </c>
      <c r="T72" s="8">
        <f t="shared" si="1"/>
        <v>416399</v>
      </c>
    </row>
    <row r="73" spans="2:20" x14ac:dyDescent="0.35">
      <c r="B73" s="15">
        <v>76</v>
      </c>
      <c r="C73" s="16" t="s">
        <v>151</v>
      </c>
      <c r="D73" s="17">
        <v>8</v>
      </c>
      <c r="E73" s="35">
        <v>45790</v>
      </c>
      <c r="F73" s="23">
        <v>45778</v>
      </c>
      <c r="G73" s="11" t="s">
        <v>859</v>
      </c>
      <c r="H73" s="11" t="s">
        <v>133</v>
      </c>
      <c r="I73" s="17" t="s">
        <v>215</v>
      </c>
      <c r="J73" s="18" t="s">
        <v>92</v>
      </c>
      <c r="K73" s="21">
        <v>373260</v>
      </c>
      <c r="L73" s="8">
        <v>67187</v>
      </c>
      <c r="M73" s="8">
        <v>440447</v>
      </c>
      <c r="N73" s="8"/>
      <c r="O73" s="8">
        <v>220223</v>
      </c>
      <c r="P73" s="9" t="s">
        <v>26</v>
      </c>
      <c r="Q73" s="20" t="s">
        <v>93</v>
      </c>
      <c r="T73" s="8">
        <f t="shared" si="1"/>
        <v>220223</v>
      </c>
    </row>
    <row r="74" spans="2:20" x14ac:dyDescent="0.35">
      <c r="B74" s="15">
        <v>77</v>
      </c>
      <c r="C74" s="16">
        <v>45874</v>
      </c>
      <c r="D74" s="17"/>
      <c r="E74" s="35">
        <v>45790</v>
      </c>
      <c r="F74" s="23">
        <v>45778</v>
      </c>
      <c r="G74" s="11" t="s">
        <v>859</v>
      </c>
      <c r="H74" s="7" t="s">
        <v>120</v>
      </c>
      <c r="I74" s="17" t="s">
        <v>216</v>
      </c>
      <c r="J74" s="10" t="s">
        <v>122</v>
      </c>
      <c r="K74" s="19">
        <v>5690</v>
      </c>
      <c r="L74" s="8"/>
      <c r="M74" s="8">
        <v>5690</v>
      </c>
      <c r="N74" s="8"/>
      <c r="O74" s="8">
        <v>5690</v>
      </c>
      <c r="P74" s="9" t="s">
        <v>26</v>
      </c>
      <c r="Q74" s="12" t="s">
        <v>27</v>
      </c>
      <c r="T74" s="8">
        <f t="shared" si="1"/>
        <v>5690</v>
      </c>
    </row>
    <row r="75" spans="2:20" x14ac:dyDescent="0.35">
      <c r="B75" s="15">
        <v>78</v>
      </c>
      <c r="C75" s="16">
        <v>45905</v>
      </c>
      <c r="D75" s="17">
        <v>35</v>
      </c>
      <c r="E75" s="35">
        <v>45790</v>
      </c>
      <c r="F75" s="23">
        <v>45778</v>
      </c>
      <c r="G75" s="11" t="s">
        <v>859</v>
      </c>
      <c r="H75" s="11" t="s">
        <v>217</v>
      </c>
      <c r="I75" s="17" t="s">
        <v>218</v>
      </c>
      <c r="J75" s="18" t="s">
        <v>105</v>
      </c>
      <c r="K75" s="19">
        <v>7000</v>
      </c>
      <c r="L75" s="8">
        <v>270</v>
      </c>
      <c r="M75" s="8">
        <v>7270</v>
      </c>
      <c r="N75" s="8"/>
      <c r="O75" s="8">
        <v>7270</v>
      </c>
      <c r="P75" s="9" t="s">
        <v>41</v>
      </c>
      <c r="Q75" s="20" t="s">
        <v>155</v>
      </c>
      <c r="T75" s="8">
        <f t="shared" si="1"/>
        <v>7270</v>
      </c>
    </row>
    <row r="76" spans="2:20" x14ac:dyDescent="0.35">
      <c r="B76" s="15">
        <v>79</v>
      </c>
      <c r="C76" s="16">
        <v>45874</v>
      </c>
      <c r="D76" s="17">
        <v>34</v>
      </c>
      <c r="E76" s="35">
        <v>45790</v>
      </c>
      <c r="F76" s="23">
        <v>45778</v>
      </c>
      <c r="G76" s="11" t="s">
        <v>859</v>
      </c>
      <c r="H76" s="11" t="s">
        <v>217</v>
      </c>
      <c r="I76" s="17" t="s">
        <v>219</v>
      </c>
      <c r="J76" s="18" t="s">
        <v>105</v>
      </c>
      <c r="K76" s="21">
        <v>129500</v>
      </c>
      <c r="L76" s="8">
        <v>3150</v>
      </c>
      <c r="M76" s="8">
        <v>132650</v>
      </c>
      <c r="N76" s="8"/>
      <c r="O76" s="8">
        <v>132650</v>
      </c>
      <c r="P76" s="9" t="s">
        <v>41</v>
      </c>
      <c r="Q76" s="20" t="s">
        <v>155</v>
      </c>
      <c r="T76" s="8">
        <f t="shared" si="1"/>
        <v>132650</v>
      </c>
    </row>
    <row r="77" spans="2:20" x14ac:dyDescent="0.35">
      <c r="B77" s="15">
        <v>80</v>
      </c>
      <c r="C77" s="16"/>
      <c r="D77" s="17" t="s">
        <v>220</v>
      </c>
      <c r="E77" s="35">
        <v>45791</v>
      </c>
      <c r="F77" s="14">
        <v>45748</v>
      </c>
      <c r="G77" s="11" t="s">
        <v>859</v>
      </c>
      <c r="H77" s="7" t="s">
        <v>221</v>
      </c>
      <c r="I77" s="17" t="s">
        <v>222</v>
      </c>
      <c r="J77" s="18" t="s">
        <v>223</v>
      </c>
      <c r="K77" s="21">
        <v>72540</v>
      </c>
      <c r="L77" s="8">
        <v>13057.199999999999</v>
      </c>
      <c r="M77" s="8">
        <v>85597.2</v>
      </c>
      <c r="N77" s="8">
        <v>725.4</v>
      </c>
      <c r="O77" s="8">
        <v>84871.8</v>
      </c>
      <c r="P77" s="9" t="s">
        <v>41</v>
      </c>
      <c r="Q77" s="12" t="s">
        <v>47</v>
      </c>
      <c r="T77" s="8">
        <f t="shared" si="1"/>
        <v>85597.2</v>
      </c>
    </row>
    <row r="78" spans="2:20" x14ac:dyDescent="0.35">
      <c r="B78" s="15">
        <v>81</v>
      </c>
      <c r="C78" s="16"/>
      <c r="D78" s="17" t="s">
        <v>220</v>
      </c>
      <c r="E78" s="35">
        <v>45791</v>
      </c>
      <c r="F78" s="14">
        <v>45748</v>
      </c>
      <c r="G78" s="11" t="s">
        <v>859</v>
      </c>
      <c r="H78" s="7" t="s">
        <v>221</v>
      </c>
      <c r="I78" s="17" t="s">
        <v>224</v>
      </c>
      <c r="J78" s="18" t="s">
        <v>223</v>
      </c>
      <c r="K78" s="21">
        <v>50000</v>
      </c>
      <c r="L78" s="8">
        <v>9000</v>
      </c>
      <c r="M78" s="8">
        <v>59000</v>
      </c>
      <c r="N78" s="8">
        <v>500</v>
      </c>
      <c r="O78" s="8">
        <v>58500</v>
      </c>
      <c r="P78" s="9" t="s">
        <v>41</v>
      </c>
      <c r="Q78" s="12" t="s">
        <v>47</v>
      </c>
      <c r="T78" s="8">
        <f t="shared" si="1"/>
        <v>59000</v>
      </c>
    </row>
    <row r="79" spans="2:20" x14ac:dyDescent="0.35">
      <c r="B79" s="15">
        <v>82</v>
      </c>
      <c r="C79" s="16"/>
      <c r="D79" s="17" t="s">
        <v>220</v>
      </c>
      <c r="E79" s="35">
        <v>45791</v>
      </c>
      <c r="F79" s="14">
        <v>45748</v>
      </c>
      <c r="G79" s="11" t="s">
        <v>859</v>
      </c>
      <c r="H79" s="7" t="s">
        <v>221</v>
      </c>
      <c r="I79" s="17" t="s">
        <v>225</v>
      </c>
      <c r="J79" s="18" t="s">
        <v>223</v>
      </c>
      <c r="K79" s="21">
        <v>29696</v>
      </c>
      <c r="L79" s="8">
        <v>5345.28</v>
      </c>
      <c r="M79" s="8">
        <v>35041.279999999999</v>
      </c>
      <c r="N79" s="8">
        <v>296.95999999999998</v>
      </c>
      <c r="O79" s="8">
        <v>34744.32</v>
      </c>
      <c r="P79" s="9" t="s">
        <v>41</v>
      </c>
      <c r="Q79" s="12" t="s">
        <v>47</v>
      </c>
      <c r="T79" s="8">
        <f t="shared" si="1"/>
        <v>35041.279999999999</v>
      </c>
    </row>
    <row r="80" spans="2:20" x14ac:dyDescent="0.35">
      <c r="B80" s="15">
        <v>83</v>
      </c>
      <c r="C80" s="16"/>
      <c r="D80" s="17" t="s">
        <v>220</v>
      </c>
      <c r="E80" s="35">
        <v>45791</v>
      </c>
      <c r="F80" s="14">
        <v>45748</v>
      </c>
      <c r="G80" s="11" t="s">
        <v>859</v>
      </c>
      <c r="H80" s="7" t="s">
        <v>221</v>
      </c>
      <c r="I80" s="17" t="s">
        <v>226</v>
      </c>
      <c r="J80" s="18" t="s">
        <v>223</v>
      </c>
      <c r="K80" s="21">
        <v>47520</v>
      </c>
      <c r="L80" s="8">
        <v>8553.6</v>
      </c>
      <c r="M80" s="8">
        <v>56073.599999999999</v>
      </c>
      <c r="N80" s="8">
        <v>475.2</v>
      </c>
      <c r="O80" s="8">
        <v>55598.400000000001</v>
      </c>
      <c r="P80" s="9" t="s">
        <v>41</v>
      </c>
      <c r="Q80" s="12" t="s">
        <v>47</v>
      </c>
      <c r="T80" s="8">
        <f t="shared" si="1"/>
        <v>56073.599999999999</v>
      </c>
    </row>
    <row r="81" spans="2:20" x14ac:dyDescent="0.35">
      <c r="B81" s="15">
        <v>84</v>
      </c>
      <c r="C81" s="16"/>
      <c r="D81" s="17" t="s">
        <v>220</v>
      </c>
      <c r="E81" s="35">
        <v>45791</v>
      </c>
      <c r="F81" s="14">
        <v>45748</v>
      </c>
      <c r="G81" s="11" t="s">
        <v>859</v>
      </c>
      <c r="H81" s="7" t="s">
        <v>221</v>
      </c>
      <c r="I81" s="17" t="s">
        <v>227</v>
      </c>
      <c r="J81" s="18" t="s">
        <v>223</v>
      </c>
      <c r="K81" s="21">
        <v>30780</v>
      </c>
      <c r="L81" s="8">
        <v>5540.4</v>
      </c>
      <c r="M81" s="8">
        <v>36320.400000000001</v>
      </c>
      <c r="N81" s="8">
        <v>307.8</v>
      </c>
      <c r="O81" s="8">
        <v>36012.6</v>
      </c>
      <c r="P81" s="9" t="s">
        <v>41</v>
      </c>
      <c r="Q81" s="12" t="s">
        <v>47</v>
      </c>
      <c r="T81" s="8">
        <f t="shared" si="1"/>
        <v>36320.400000000001</v>
      </c>
    </row>
    <row r="82" spans="2:20" x14ac:dyDescent="0.35">
      <c r="B82" s="15">
        <v>85</v>
      </c>
      <c r="C82" s="16"/>
      <c r="D82" s="17" t="s">
        <v>220</v>
      </c>
      <c r="E82" s="35">
        <v>45791</v>
      </c>
      <c r="F82" s="14">
        <v>45748</v>
      </c>
      <c r="G82" s="11" t="s">
        <v>859</v>
      </c>
      <c r="H82" s="7" t="s">
        <v>221</v>
      </c>
      <c r="I82" s="17" t="s">
        <v>228</v>
      </c>
      <c r="J82" s="10" t="s">
        <v>229</v>
      </c>
      <c r="K82" s="21">
        <v>181556</v>
      </c>
      <c r="L82" s="8">
        <v>32680.079999999998</v>
      </c>
      <c r="M82" s="8">
        <v>214236.08</v>
      </c>
      <c r="N82" s="8">
        <v>1815.56</v>
      </c>
      <c r="O82" s="8">
        <v>212420.52</v>
      </c>
      <c r="P82" s="9" t="s">
        <v>41</v>
      </c>
      <c r="Q82" s="12" t="s">
        <v>93</v>
      </c>
      <c r="T82" s="8">
        <f t="shared" si="1"/>
        <v>214236.08</v>
      </c>
    </row>
    <row r="83" spans="2:20" x14ac:dyDescent="0.35">
      <c r="B83" s="15">
        <v>86</v>
      </c>
      <c r="C83" s="16"/>
      <c r="D83" s="17" t="s">
        <v>220</v>
      </c>
      <c r="E83" s="35">
        <v>45791</v>
      </c>
      <c r="F83" s="14">
        <v>45748</v>
      </c>
      <c r="G83" s="11" t="s">
        <v>859</v>
      </c>
      <c r="H83" s="7" t="s">
        <v>221</v>
      </c>
      <c r="I83" s="17" t="s">
        <v>230</v>
      </c>
      <c r="J83" s="10" t="s">
        <v>231</v>
      </c>
      <c r="K83" s="21">
        <v>204195</v>
      </c>
      <c r="L83" s="8">
        <v>36755.1</v>
      </c>
      <c r="M83" s="8">
        <v>240950.1</v>
      </c>
      <c r="N83" s="8">
        <v>2041.95</v>
      </c>
      <c r="O83" s="8">
        <v>238908.15</v>
      </c>
      <c r="P83" s="9" t="s">
        <v>41</v>
      </c>
      <c r="Q83" s="12" t="s">
        <v>27</v>
      </c>
      <c r="T83" s="8">
        <f t="shared" si="1"/>
        <v>240950.1</v>
      </c>
    </row>
    <row r="84" spans="2:20" ht="28.5" x14ac:dyDescent="0.35">
      <c r="B84" s="15">
        <v>87</v>
      </c>
      <c r="C84" s="16"/>
      <c r="D84" s="17" t="s">
        <v>220</v>
      </c>
      <c r="E84" s="35">
        <v>45791</v>
      </c>
      <c r="F84" s="14">
        <v>45748</v>
      </c>
      <c r="G84" s="11" t="s">
        <v>859</v>
      </c>
      <c r="H84" s="7" t="s">
        <v>221</v>
      </c>
      <c r="I84" s="17" t="s">
        <v>232</v>
      </c>
      <c r="J84" s="10" t="s">
        <v>233</v>
      </c>
      <c r="K84" s="21">
        <v>25200</v>
      </c>
      <c r="L84" s="8">
        <v>4536</v>
      </c>
      <c r="M84" s="8">
        <v>29736</v>
      </c>
      <c r="N84" s="8">
        <v>252</v>
      </c>
      <c r="O84" s="8">
        <v>29484</v>
      </c>
      <c r="P84" s="9" t="s">
        <v>41</v>
      </c>
      <c r="Q84" s="12" t="s">
        <v>20</v>
      </c>
      <c r="T84" s="8">
        <f t="shared" si="1"/>
        <v>29736</v>
      </c>
    </row>
    <row r="85" spans="2:20" ht="28.5" x14ac:dyDescent="0.35">
      <c r="B85" s="15">
        <v>88</v>
      </c>
      <c r="C85" s="16"/>
      <c r="D85" s="17" t="s">
        <v>220</v>
      </c>
      <c r="E85" s="35">
        <v>45791</v>
      </c>
      <c r="F85" s="14">
        <v>45748</v>
      </c>
      <c r="G85" s="11" t="s">
        <v>859</v>
      </c>
      <c r="H85" s="7" t="s">
        <v>221</v>
      </c>
      <c r="I85" s="17" t="s">
        <v>234</v>
      </c>
      <c r="J85" s="10" t="s">
        <v>233</v>
      </c>
      <c r="K85" s="21">
        <v>28050</v>
      </c>
      <c r="L85" s="8">
        <v>5049</v>
      </c>
      <c r="M85" s="8">
        <v>33099</v>
      </c>
      <c r="N85" s="8">
        <v>280.5</v>
      </c>
      <c r="O85" s="8">
        <v>32818.5</v>
      </c>
      <c r="P85" s="9" t="s">
        <v>41</v>
      </c>
      <c r="Q85" s="12" t="s">
        <v>20</v>
      </c>
      <c r="T85" s="8">
        <f t="shared" si="1"/>
        <v>33099</v>
      </c>
    </row>
    <row r="86" spans="2:20" x14ac:dyDescent="0.35">
      <c r="B86" s="15">
        <v>89</v>
      </c>
      <c r="C86" s="16"/>
      <c r="D86" s="17" t="s">
        <v>220</v>
      </c>
      <c r="E86" s="35">
        <v>45791</v>
      </c>
      <c r="F86" s="14">
        <v>45748</v>
      </c>
      <c r="G86" s="11" t="s">
        <v>859</v>
      </c>
      <c r="H86" s="7" t="s">
        <v>221</v>
      </c>
      <c r="I86" s="17" t="s">
        <v>235</v>
      </c>
      <c r="J86" s="10" t="s">
        <v>236</v>
      </c>
      <c r="K86" s="21">
        <v>26667</v>
      </c>
      <c r="L86" s="8">
        <v>4800.0599999999995</v>
      </c>
      <c r="M86" s="8">
        <v>31467.059999999998</v>
      </c>
      <c r="N86" s="8">
        <v>266.67</v>
      </c>
      <c r="O86" s="8">
        <v>31200.39</v>
      </c>
      <c r="P86" s="9" t="s">
        <v>41</v>
      </c>
      <c r="Q86" s="12" t="s">
        <v>67</v>
      </c>
      <c r="T86" s="8">
        <f t="shared" si="1"/>
        <v>31467.059999999998</v>
      </c>
    </row>
    <row r="87" spans="2:20" x14ac:dyDescent="0.35">
      <c r="B87" s="15">
        <v>90</v>
      </c>
      <c r="C87" s="16"/>
      <c r="D87" s="17" t="s">
        <v>220</v>
      </c>
      <c r="E87" s="35">
        <v>45791</v>
      </c>
      <c r="F87" s="14">
        <v>45748</v>
      </c>
      <c r="G87" s="11" t="s">
        <v>859</v>
      </c>
      <c r="H87" s="7" t="s">
        <v>221</v>
      </c>
      <c r="I87" s="17" t="s">
        <v>237</v>
      </c>
      <c r="J87" s="10" t="s">
        <v>236</v>
      </c>
      <c r="K87" s="21">
        <v>571805</v>
      </c>
      <c r="L87" s="8">
        <v>102924.9</v>
      </c>
      <c r="M87" s="8">
        <v>674729.9</v>
      </c>
      <c r="N87" s="8">
        <v>5718.05</v>
      </c>
      <c r="O87" s="8">
        <v>664170.85</v>
      </c>
      <c r="P87" s="9" t="s">
        <v>41</v>
      </c>
      <c r="Q87" s="12" t="s">
        <v>67</v>
      </c>
      <c r="T87" s="8">
        <f t="shared" si="1"/>
        <v>669888.9</v>
      </c>
    </row>
    <row r="88" spans="2:20" x14ac:dyDescent="0.35">
      <c r="B88" s="15">
        <v>91</v>
      </c>
      <c r="C88" s="16"/>
      <c r="D88" s="17" t="s">
        <v>220</v>
      </c>
      <c r="E88" s="35">
        <v>45791</v>
      </c>
      <c r="F88" s="14">
        <v>45748</v>
      </c>
      <c r="G88" s="11" t="s">
        <v>859</v>
      </c>
      <c r="H88" s="7" t="s">
        <v>221</v>
      </c>
      <c r="I88" s="17" t="s">
        <v>238</v>
      </c>
      <c r="J88" s="10" t="s">
        <v>236</v>
      </c>
      <c r="K88" s="21">
        <v>20000</v>
      </c>
      <c r="L88" s="8">
        <v>3600</v>
      </c>
      <c r="M88" s="8">
        <v>23600</v>
      </c>
      <c r="N88" s="8">
        <v>200</v>
      </c>
      <c r="O88" s="8">
        <v>23400</v>
      </c>
      <c r="P88" s="9" t="s">
        <v>41</v>
      </c>
      <c r="Q88" s="12" t="s">
        <v>67</v>
      </c>
      <c r="T88" s="8">
        <f t="shared" si="1"/>
        <v>23600</v>
      </c>
    </row>
    <row r="89" spans="2:20" x14ac:dyDescent="0.35">
      <c r="B89" s="15">
        <v>92</v>
      </c>
      <c r="C89" s="16"/>
      <c r="D89" s="17" t="s">
        <v>220</v>
      </c>
      <c r="E89" s="35">
        <v>45791</v>
      </c>
      <c r="F89" s="14">
        <v>45748</v>
      </c>
      <c r="G89" s="11" t="s">
        <v>859</v>
      </c>
      <c r="H89" s="7" t="s">
        <v>221</v>
      </c>
      <c r="I89" s="17" t="s">
        <v>239</v>
      </c>
      <c r="J89" s="10" t="s">
        <v>240</v>
      </c>
      <c r="K89" s="21">
        <v>19000</v>
      </c>
      <c r="L89" s="8">
        <v>3420</v>
      </c>
      <c r="M89" s="8">
        <v>22420</v>
      </c>
      <c r="N89" s="8">
        <v>190</v>
      </c>
      <c r="O89" s="8">
        <v>22230</v>
      </c>
      <c r="P89" s="9" t="s">
        <v>41</v>
      </c>
      <c r="Q89" s="12" t="s">
        <v>241</v>
      </c>
      <c r="T89" s="8">
        <f t="shared" si="1"/>
        <v>22420</v>
      </c>
    </row>
    <row r="90" spans="2:20" x14ac:dyDescent="0.35">
      <c r="B90" s="15">
        <v>93</v>
      </c>
      <c r="C90" s="16"/>
      <c r="D90" s="17" t="s">
        <v>220</v>
      </c>
      <c r="E90" s="35">
        <v>45791</v>
      </c>
      <c r="F90" s="14">
        <v>45748</v>
      </c>
      <c r="G90" s="11" t="s">
        <v>859</v>
      </c>
      <c r="H90" s="7" t="s">
        <v>221</v>
      </c>
      <c r="I90" s="17" t="s">
        <v>242</v>
      </c>
      <c r="J90" s="10" t="s">
        <v>236</v>
      </c>
      <c r="K90" s="21">
        <v>1640122</v>
      </c>
      <c r="L90" s="8">
        <v>295221.95999999996</v>
      </c>
      <c r="M90" s="8">
        <v>1935343.96</v>
      </c>
      <c r="N90" s="8">
        <v>367.2</v>
      </c>
      <c r="O90" s="8">
        <v>42962.400000000001</v>
      </c>
      <c r="P90" s="9" t="s">
        <v>41</v>
      </c>
      <c r="Q90" s="12" t="s">
        <v>67</v>
      </c>
      <c r="T90" s="8">
        <f t="shared" si="1"/>
        <v>43329.599999999999</v>
      </c>
    </row>
    <row r="91" spans="2:20" x14ac:dyDescent="0.35">
      <c r="B91" s="15">
        <v>94</v>
      </c>
      <c r="C91" s="16"/>
      <c r="D91" s="17" t="s">
        <v>220</v>
      </c>
      <c r="E91" s="35">
        <v>45791</v>
      </c>
      <c r="F91" s="14">
        <v>45748</v>
      </c>
      <c r="G91" s="11" t="s">
        <v>859</v>
      </c>
      <c r="H91" s="7" t="s">
        <v>221</v>
      </c>
      <c r="I91" s="17" t="s">
        <v>243</v>
      </c>
      <c r="J91" s="18" t="s">
        <v>223</v>
      </c>
      <c r="K91" s="21"/>
      <c r="L91" s="8"/>
      <c r="M91" s="8"/>
      <c r="N91" s="8"/>
      <c r="O91" s="8"/>
      <c r="P91" s="9" t="s">
        <v>41</v>
      </c>
      <c r="Q91" s="12" t="s">
        <v>47</v>
      </c>
      <c r="T91" s="8">
        <f t="shared" si="1"/>
        <v>0</v>
      </c>
    </row>
    <row r="92" spans="2:20" x14ac:dyDescent="0.35">
      <c r="B92" s="15">
        <v>95</v>
      </c>
      <c r="C92" s="16">
        <v>45721</v>
      </c>
      <c r="D92" s="17" t="s">
        <v>244</v>
      </c>
      <c r="E92" s="35">
        <v>45792</v>
      </c>
      <c r="F92" s="23">
        <v>45778</v>
      </c>
      <c r="G92" s="11" t="s">
        <v>859</v>
      </c>
      <c r="H92" s="7" t="s">
        <v>116</v>
      </c>
      <c r="I92" s="17" t="s">
        <v>245</v>
      </c>
      <c r="J92" s="18" t="s">
        <v>150</v>
      </c>
      <c r="K92" s="21">
        <v>550914</v>
      </c>
      <c r="L92" s="8">
        <v>99164</v>
      </c>
      <c r="M92" s="8">
        <v>650078</v>
      </c>
      <c r="N92" s="8">
        <v>5509.14</v>
      </c>
      <c r="O92" s="8">
        <v>294112</v>
      </c>
      <c r="P92" s="9" t="s">
        <v>41</v>
      </c>
      <c r="Q92" s="20" t="s">
        <v>47</v>
      </c>
      <c r="T92" s="8">
        <f t="shared" si="1"/>
        <v>299621.14</v>
      </c>
    </row>
    <row r="93" spans="2:20" x14ac:dyDescent="0.35">
      <c r="B93" s="15">
        <v>96</v>
      </c>
      <c r="C93" s="16"/>
      <c r="D93" s="17"/>
      <c r="E93" s="35">
        <v>45792</v>
      </c>
      <c r="F93" s="23">
        <v>45689</v>
      </c>
      <c r="G93" s="11" t="s">
        <v>859</v>
      </c>
      <c r="H93" s="11" t="s">
        <v>108</v>
      </c>
      <c r="I93" s="17" t="s">
        <v>246</v>
      </c>
      <c r="J93" s="18" t="s">
        <v>110</v>
      </c>
      <c r="K93" s="19">
        <v>2500</v>
      </c>
      <c r="L93" s="8"/>
      <c r="M93" s="8">
        <v>2500</v>
      </c>
      <c r="N93" s="8"/>
      <c r="O93" s="8">
        <v>2500</v>
      </c>
      <c r="P93" s="9" t="s">
        <v>41</v>
      </c>
      <c r="Q93" s="20" t="s">
        <v>858</v>
      </c>
      <c r="T93" s="8">
        <f t="shared" si="1"/>
        <v>2500</v>
      </c>
    </row>
    <row r="94" spans="2:20" x14ac:dyDescent="0.35">
      <c r="B94" s="15">
        <v>97</v>
      </c>
      <c r="C94" s="16" t="s">
        <v>247</v>
      </c>
      <c r="D94" s="17" t="s">
        <v>22</v>
      </c>
      <c r="E94" s="35">
        <v>45797</v>
      </c>
      <c r="F94" s="23">
        <v>45778</v>
      </c>
      <c r="G94" s="11" t="s">
        <v>859</v>
      </c>
      <c r="H94" s="11" t="s">
        <v>28</v>
      </c>
      <c r="I94" s="17" t="s">
        <v>248</v>
      </c>
      <c r="J94" s="18" t="s">
        <v>30</v>
      </c>
      <c r="K94" s="21">
        <v>419615</v>
      </c>
      <c r="L94" s="8">
        <v>75531</v>
      </c>
      <c r="M94" s="8">
        <v>495146</v>
      </c>
      <c r="N94" s="8">
        <v>4196</v>
      </c>
      <c r="O94" s="8">
        <v>243377</v>
      </c>
      <c r="P94" s="18" t="s">
        <v>19</v>
      </c>
      <c r="Q94" s="20" t="s">
        <v>31</v>
      </c>
      <c r="T94" s="8">
        <f t="shared" si="1"/>
        <v>247573</v>
      </c>
    </row>
    <row r="95" spans="2:20" x14ac:dyDescent="0.35">
      <c r="B95" s="15">
        <v>98</v>
      </c>
      <c r="C95" s="16">
        <v>45996</v>
      </c>
      <c r="D95" s="17">
        <v>387</v>
      </c>
      <c r="E95" s="35">
        <v>45797</v>
      </c>
      <c r="F95" s="23">
        <v>45778</v>
      </c>
      <c r="G95" s="11" t="s">
        <v>859</v>
      </c>
      <c r="H95" s="11" t="s">
        <v>141</v>
      </c>
      <c r="I95" s="17" t="s">
        <v>249</v>
      </c>
      <c r="J95" s="18" t="s">
        <v>46</v>
      </c>
      <c r="K95" s="19">
        <v>78659</v>
      </c>
      <c r="L95" s="8">
        <v>13425</v>
      </c>
      <c r="M95" s="8">
        <v>92085</v>
      </c>
      <c r="N95" s="8"/>
      <c r="O95" s="8">
        <v>92085</v>
      </c>
      <c r="P95" s="9" t="s">
        <v>26</v>
      </c>
      <c r="Q95" s="12" t="s">
        <v>67</v>
      </c>
      <c r="T95" s="8">
        <f t="shared" si="1"/>
        <v>92085</v>
      </c>
    </row>
    <row r="96" spans="2:20" x14ac:dyDescent="0.35">
      <c r="B96" s="15">
        <v>99</v>
      </c>
      <c r="C96" s="16" t="s">
        <v>250</v>
      </c>
      <c r="D96" s="17">
        <v>37</v>
      </c>
      <c r="E96" s="35">
        <v>45797</v>
      </c>
      <c r="F96" s="23">
        <v>45778</v>
      </c>
      <c r="G96" s="11" t="s">
        <v>859</v>
      </c>
      <c r="H96" s="11" t="s">
        <v>217</v>
      </c>
      <c r="I96" s="17" t="s">
        <v>218</v>
      </c>
      <c r="J96" s="18" t="s">
        <v>105</v>
      </c>
      <c r="K96" s="19">
        <v>9750</v>
      </c>
      <c r="L96" s="8">
        <v>270</v>
      </c>
      <c r="M96" s="8">
        <v>10020</v>
      </c>
      <c r="N96" s="8"/>
      <c r="O96" s="8">
        <v>10020</v>
      </c>
      <c r="P96" s="9" t="s">
        <v>41</v>
      </c>
      <c r="Q96" s="20" t="s">
        <v>155</v>
      </c>
      <c r="T96" s="8">
        <f t="shared" si="1"/>
        <v>10020</v>
      </c>
    </row>
    <row r="97" spans="2:20" x14ac:dyDescent="0.35">
      <c r="B97" s="15">
        <v>100</v>
      </c>
      <c r="C97" s="16" t="s">
        <v>251</v>
      </c>
      <c r="D97" s="17">
        <v>36</v>
      </c>
      <c r="E97" s="35">
        <v>45797</v>
      </c>
      <c r="F97" s="23">
        <v>45778</v>
      </c>
      <c r="G97" s="11" t="s">
        <v>859</v>
      </c>
      <c r="H97" s="11" t="s">
        <v>217</v>
      </c>
      <c r="I97" s="17" t="s">
        <v>218</v>
      </c>
      <c r="J97" s="18" t="s">
        <v>105</v>
      </c>
      <c r="K97" s="19">
        <v>5350</v>
      </c>
      <c r="L97" s="8">
        <v>270</v>
      </c>
      <c r="M97" s="8">
        <v>5620</v>
      </c>
      <c r="N97" s="8"/>
      <c r="O97" s="8">
        <v>5620</v>
      </c>
      <c r="P97" s="9" t="s">
        <v>41</v>
      </c>
      <c r="Q97" s="20" t="s">
        <v>155</v>
      </c>
      <c r="T97" s="8">
        <f t="shared" si="1"/>
        <v>5620</v>
      </c>
    </row>
    <row r="98" spans="2:20" x14ac:dyDescent="0.35">
      <c r="B98" s="15">
        <v>101</v>
      </c>
      <c r="C98" s="16">
        <v>45996</v>
      </c>
      <c r="D98" s="17">
        <v>1455</v>
      </c>
      <c r="E98" s="35">
        <v>45797</v>
      </c>
      <c r="F98" s="23">
        <v>45778</v>
      </c>
      <c r="G98" s="11" t="s">
        <v>859</v>
      </c>
      <c r="H98" s="7" t="s">
        <v>174</v>
      </c>
      <c r="I98" s="17" t="s">
        <v>252</v>
      </c>
      <c r="J98" s="10" t="s">
        <v>176</v>
      </c>
      <c r="K98" s="19">
        <v>16300</v>
      </c>
      <c r="L98" s="8"/>
      <c r="M98" s="8">
        <v>16300</v>
      </c>
      <c r="N98" s="8"/>
      <c r="O98" s="8">
        <v>16300</v>
      </c>
      <c r="P98" s="9" t="s">
        <v>26</v>
      </c>
      <c r="Q98" s="20" t="s">
        <v>155</v>
      </c>
      <c r="T98" s="8">
        <f t="shared" si="1"/>
        <v>16300</v>
      </c>
    </row>
    <row r="99" spans="2:20" x14ac:dyDescent="0.35">
      <c r="B99" s="15">
        <v>102</v>
      </c>
      <c r="C99" s="16">
        <v>45996</v>
      </c>
      <c r="D99" s="17">
        <v>1204</v>
      </c>
      <c r="E99" s="35">
        <v>45797</v>
      </c>
      <c r="F99" s="23">
        <v>45778</v>
      </c>
      <c r="G99" s="11" t="s">
        <v>859</v>
      </c>
      <c r="H99" s="7" t="s">
        <v>174</v>
      </c>
      <c r="I99" s="17" t="s">
        <v>253</v>
      </c>
      <c r="J99" s="10" t="s">
        <v>176</v>
      </c>
      <c r="K99" s="19">
        <v>38450</v>
      </c>
      <c r="L99" s="8"/>
      <c r="M99" s="8">
        <v>38450</v>
      </c>
      <c r="N99" s="8"/>
      <c r="O99" s="8">
        <v>38450</v>
      </c>
      <c r="P99" s="9" t="s">
        <v>26</v>
      </c>
      <c r="Q99" s="20" t="s">
        <v>155</v>
      </c>
      <c r="T99" s="8">
        <f t="shared" si="1"/>
        <v>38450</v>
      </c>
    </row>
    <row r="100" spans="2:20" x14ac:dyDescent="0.35">
      <c r="B100" s="15">
        <v>103</v>
      </c>
      <c r="C100" s="16"/>
      <c r="D100" s="17" t="s">
        <v>22</v>
      </c>
      <c r="E100" s="35">
        <v>45797</v>
      </c>
      <c r="F100" s="23">
        <v>45778</v>
      </c>
      <c r="G100" s="11" t="s">
        <v>859</v>
      </c>
      <c r="H100" s="7" t="s">
        <v>16</v>
      </c>
      <c r="I100" s="17" t="s">
        <v>254</v>
      </c>
      <c r="J100" s="18" t="s">
        <v>255</v>
      </c>
      <c r="K100" s="21">
        <v>5288286</v>
      </c>
      <c r="L100" s="8">
        <v>951891</v>
      </c>
      <c r="M100" s="8">
        <v>6240177</v>
      </c>
      <c r="N100" s="8">
        <v>52882.86</v>
      </c>
      <c r="O100" s="8">
        <v>1533603</v>
      </c>
      <c r="P100" s="18" t="s">
        <v>19</v>
      </c>
      <c r="Q100" s="20" t="s">
        <v>20</v>
      </c>
      <c r="T100" s="8">
        <f t="shared" si="1"/>
        <v>1586485.86</v>
      </c>
    </row>
    <row r="101" spans="2:20" x14ac:dyDescent="0.35">
      <c r="B101" s="15">
        <v>104</v>
      </c>
      <c r="C101" s="16" t="s">
        <v>256</v>
      </c>
      <c r="D101" s="17"/>
      <c r="E101" s="35">
        <v>45797</v>
      </c>
      <c r="F101" s="23">
        <v>45778</v>
      </c>
      <c r="G101" s="11" t="s">
        <v>859</v>
      </c>
      <c r="H101" s="7" t="s">
        <v>120</v>
      </c>
      <c r="I101" s="17" t="s">
        <v>257</v>
      </c>
      <c r="J101" s="10" t="s">
        <v>122</v>
      </c>
      <c r="K101" s="19">
        <v>8934</v>
      </c>
      <c r="L101" s="8"/>
      <c r="M101" s="8">
        <v>8934</v>
      </c>
      <c r="N101" s="8"/>
      <c r="O101" s="8">
        <v>8934</v>
      </c>
      <c r="P101" s="9" t="s">
        <v>26</v>
      </c>
      <c r="Q101" s="12" t="s">
        <v>27</v>
      </c>
      <c r="T101" s="8">
        <f t="shared" si="1"/>
        <v>8934</v>
      </c>
    </row>
    <row r="102" spans="2:20" x14ac:dyDescent="0.35">
      <c r="B102" s="15">
        <v>105</v>
      </c>
      <c r="C102" s="16">
        <v>45874</v>
      </c>
      <c r="D102" s="17"/>
      <c r="E102" s="35">
        <v>45797</v>
      </c>
      <c r="F102" s="23">
        <v>45778</v>
      </c>
      <c r="G102" s="11" t="s">
        <v>859</v>
      </c>
      <c r="H102" s="7" t="s">
        <v>120</v>
      </c>
      <c r="I102" s="17" t="s">
        <v>258</v>
      </c>
      <c r="J102" s="10" t="s">
        <v>122</v>
      </c>
      <c r="K102" s="19">
        <v>3325</v>
      </c>
      <c r="L102" s="8"/>
      <c r="M102" s="8">
        <v>3325</v>
      </c>
      <c r="N102" s="8"/>
      <c r="O102" s="8">
        <v>3325</v>
      </c>
      <c r="P102" s="9" t="s">
        <v>26</v>
      </c>
      <c r="Q102" s="12" t="s">
        <v>27</v>
      </c>
      <c r="T102" s="8">
        <f t="shared" si="1"/>
        <v>3325</v>
      </c>
    </row>
    <row r="103" spans="2:20" x14ac:dyDescent="0.35">
      <c r="B103" s="15">
        <v>106</v>
      </c>
      <c r="C103" s="16" t="s">
        <v>251</v>
      </c>
      <c r="D103" s="17" t="s">
        <v>22</v>
      </c>
      <c r="E103" s="35">
        <v>45797</v>
      </c>
      <c r="F103" s="23">
        <v>45778</v>
      </c>
      <c r="G103" s="11" t="s">
        <v>859</v>
      </c>
      <c r="H103" s="7" t="s">
        <v>138</v>
      </c>
      <c r="I103" s="17" t="s">
        <v>259</v>
      </c>
      <c r="J103" s="13" t="s">
        <v>140</v>
      </c>
      <c r="K103" s="19">
        <v>18900</v>
      </c>
      <c r="L103" s="8"/>
      <c r="M103" s="8"/>
      <c r="N103" s="8"/>
      <c r="O103" s="8">
        <v>9450</v>
      </c>
      <c r="P103" s="9" t="s">
        <v>26</v>
      </c>
      <c r="Q103" s="12" t="s">
        <v>27</v>
      </c>
      <c r="T103" s="8">
        <f t="shared" si="1"/>
        <v>9450</v>
      </c>
    </row>
    <row r="104" spans="2:20" x14ac:dyDescent="0.35">
      <c r="B104" s="15">
        <v>107</v>
      </c>
      <c r="C104" s="16">
        <v>45996</v>
      </c>
      <c r="D104" s="17" t="s">
        <v>260</v>
      </c>
      <c r="E104" s="35">
        <v>45797</v>
      </c>
      <c r="F104" s="23">
        <v>45778</v>
      </c>
      <c r="G104" s="11" t="s">
        <v>859</v>
      </c>
      <c r="H104" s="7" t="s">
        <v>138</v>
      </c>
      <c r="I104" s="17" t="s">
        <v>261</v>
      </c>
      <c r="J104" s="13" t="s">
        <v>140</v>
      </c>
      <c r="K104" s="19">
        <v>26520</v>
      </c>
      <c r="L104" s="8">
        <v>4774</v>
      </c>
      <c r="M104" s="8">
        <v>31294</v>
      </c>
      <c r="N104" s="8"/>
      <c r="O104" s="8">
        <v>18034</v>
      </c>
      <c r="P104" s="9" t="s">
        <v>26</v>
      </c>
      <c r="Q104" s="12" t="s">
        <v>27</v>
      </c>
      <c r="T104" s="8">
        <f t="shared" si="1"/>
        <v>18034</v>
      </c>
    </row>
    <row r="105" spans="2:20" x14ac:dyDescent="0.35">
      <c r="B105" s="15">
        <v>108</v>
      </c>
      <c r="C105" s="16" t="s">
        <v>262</v>
      </c>
      <c r="D105" s="17" t="s">
        <v>263</v>
      </c>
      <c r="E105" s="35">
        <v>45799</v>
      </c>
      <c r="F105" s="23">
        <v>45778</v>
      </c>
      <c r="G105" s="11" t="s">
        <v>859</v>
      </c>
      <c r="H105" s="11" t="s">
        <v>264</v>
      </c>
      <c r="I105" s="17" t="s">
        <v>265</v>
      </c>
      <c r="J105" s="18" t="s">
        <v>266</v>
      </c>
      <c r="K105" s="19">
        <v>14831</v>
      </c>
      <c r="L105" s="8">
        <v>2670</v>
      </c>
      <c r="M105" s="8">
        <v>17500</v>
      </c>
      <c r="N105" s="8"/>
      <c r="O105" s="8">
        <v>17500</v>
      </c>
      <c r="P105" s="9" t="s">
        <v>26</v>
      </c>
      <c r="Q105" s="12" t="s">
        <v>241</v>
      </c>
      <c r="T105" s="8">
        <f t="shared" si="1"/>
        <v>17500</v>
      </c>
    </row>
    <row r="106" spans="2:20" x14ac:dyDescent="0.35">
      <c r="B106" s="15">
        <v>109</v>
      </c>
      <c r="C106" s="16" t="s">
        <v>267</v>
      </c>
      <c r="D106" s="17">
        <v>366</v>
      </c>
      <c r="E106" s="35">
        <v>45799</v>
      </c>
      <c r="F106" s="23">
        <v>45778</v>
      </c>
      <c r="G106" s="11" t="s">
        <v>859</v>
      </c>
      <c r="H106" s="11" t="s">
        <v>268</v>
      </c>
      <c r="I106" s="17" t="s">
        <v>269</v>
      </c>
      <c r="J106" s="10" t="s">
        <v>197</v>
      </c>
      <c r="K106" s="19">
        <v>8650</v>
      </c>
      <c r="L106" s="8"/>
      <c r="M106" s="8">
        <v>8650</v>
      </c>
      <c r="N106" s="8"/>
      <c r="O106" s="8">
        <v>8650</v>
      </c>
      <c r="P106" s="9" t="s">
        <v>26</v>
      </c>
      <c r="Q106" s="12" t="s">
        <v>241</v>
      </c>
      <c r="T106" s="8">
        <f t="shared" si="1"/>
        <v>8650</v>
      </c>
    </row>
    <row r="107" spans="2:20" x14ac:dyDescent="0.35">
      <c r="B107" s="15">
        <v>110</v>
      </c>
      <c r="C107" s="16" t="s">
        <v>267</v>
      </c>
      <c r="D107" s="17">
        <v>18</v>
      </c>
      <c r="E107" s="35">
        <v>45799</v>
      </c>
      <c r="F107" s="23">
        <v>45778</v>
      </c>
      <c r="G107" s="11" t="s">
        <v>859</v>
      </c>
      <c r="H107" s="11" t="s">
        <v>270</v>
      </c>
      <c r="I107" s="17" t="s">
        <v>271</v>
      </c>
      <c r="J107" s="18" t="s">
        <v>46</v>
      </c>
      <c r="K107" s="19">
        <v>30000</v>
      </c>
      <c r="L107" s="8">
        <v>5400</v>
      </c>
      <c r="M107" s="8">
        <v>35400</v>
      </c>
      <c r="N107" s="8"/>
      <c r="O107" s="8">
        <v>35400</v>
      </c>
      <c r="P107" s="9" t="s">
        <v>26</v>
      </c>
      <c r="Q107" s="20" t="s">
        <v>155</v>
      </c>
      <c r="T107" s="8">
        <f t="shared" si="1"/>
        <v>35400</v>
      </c>
    </row>
    <row r="108" spans="2:20" x14ac:dyDescent="0.35">
      <c r="B108" s="15">
        <v>111</v>
      </c>
      <c r="C108" s="16" t="s">
        <v>267</v>
      </c>
      <c r="D108" s="17"/>
      <c r="E108" s="35">
        <v>45799</v>
      </c>
      <c r="F108" s="23">
        <v>45778</v>
      </c>
      <c r="G108" s="11" t="s">
        <v>859</v>
      </c>
      <c r="H108" s="11" t="s">
        <v>270</v>
      </c>
      <c r="I108" s="17" t="s">
        <v>272</v>
      </c>
      <c r="J108" s="18" t="s">
        <v>105</v>
      </c>
      <c r="K108" s="19">
        <v>24000</v>
      </c>
      <c r="L108" s="8"/>
      <c r="M108" s="8">
        <v>24000</v>
      </c>
      <c r="N108" s="8"/>
      <c r="O108" s="8">
        <v>24000</v>
      </c>
      <c r="P108" s="9" t="s">
        <v>26</v>
      </c>
      <c r="Q108" s="20" t="s">
        <v>155</v>
      </c>
      <c r="T108" s="8">
        <f t="shared" si="1"/>
        <v>24000</v>
      </c>
    </row>
    <row r="109" spans="2:20" x14ac:dyDescent="0.35">
      <c r="B109" s="15">
        <v>112</v>
      </c>
      <c r="C109" s="16" t="s">
        <v>273</v>
      </c>
      <c r="D109" s="17" t="s">
        <v>274</v>
      </c>
      <c r="E109" s="35">
        <v>45799</v>
      </c>
      <c r="F109" s="23">
        <v>45778</v>
      </c>
      <c r="G109" s="11" t="s">
        <v>859</v>
      </c>
      <c r="H109" s="11" t="s">
        <v>275</v>
      </c>
      <c r="I109" s="17" t="s">
        <v>276</v>
      </c>
      <c r="J109" s="18" t="s">
        <v>277</v>
      </c>
      <c r="K109" s="19">
        <v>1200</v>
      </c>
      <c r="L109" s="8">
        <v>216</v>
      </c>
      <c r="M109" s="8">
        <v>1416</v>
      </c>
      <c r="N109" s="8"/>
      <c r="O109" s="8">
        <v>1416</v>
      </c>
      <c r="P109" s="9" t="s">
        <v>26</v>
      </c>
      <c r="Q109" s="20" t="s">
        <v>27</v>
      </c>
      <c r="T109" s="8">
        <f t="shared" si="1"/>
        <v>1416</v>
      </c>
    </row>
    <row r="110" spans="2:20" x14ac:dyDescent="0.35">
      <c r="B110" s="15">
        <v>113</v>
      </c>
      <c r="C110" s="16" t="s">
        <v>262</v>
      </c>
      <c r="D110" s="17" t="s">
        <v>278</v>
      </c>
      <c r="E110" s="35">
        <v>45801</v>
      </c>
      <c r="F110" s="22">
        <v>45778</v>
      </c>
      <c r="G110" s="11" t="s">
        <v>859</v>
      </c>
      <c r="H110" s="7" t="s">
        <v>279</v>
      </c>
      <c r="I110" s="17" t="s">
        <v>280</v>
      </c>
      <c r="J110" s="10" t="s">
        <v>281</v>
      </c>
      <c r="K110" s="19">
        <v>38646</v>
      </c>
      <c r="L110" s="8">
        <v>6956</v>
      </c>
      <c r="M110" s="8">
        <v>45602</v>
      </c>
      <c r="N110" s="8">
        <v>386</v>
      </c>
      <c r="O110" s="8">
        <v>45216</v>
      </c>
      <c r="P110" s="18" t="s">
        <v>19</v>
      </c>
      <c r="Q110" s="20" t="s">
        <v>93</v>
      </c>
      <c r="T110" s="8">
        <f t="shared" si="1"/>
        <v>45602</v>
      </c>
    </row>
    <row r="111" spans="2:20" x14ac:dyDescent="0.35">
      <c r="B111" s="15">
        <v>114</v>
      </c>
      <c r="C111" s="16" t="s">
        <v>282</v>
      </c>
      <c r="D111" s="17">
        <v>1917</v>
      </c>
      <c r="E111" s="35">
        <v>45801</v>
      </c>
      <c r="F111" s="23">
        <v>45778</v>
      </c>
      <c r="G111" s="11" t="s">
        <v>859</v>
      </c>
      <c r="H111" s="7" t="s">
        <v>23</v>
      </c>
      <c r="I111" s="17" t="s">
        <v>283</v>
      </c>
      <c r="J111" s="18" t="s">
        <v>46</v>
      </c>
      <c r="K111" s="19">
        <v>2500</v>
      </c>
      <c r="L111" s="8">
        <v>450</v>
      </c>
      <c r="M111" s="8">
        <v>2950</v>
      </c>
      <c r="N111" s="8"/>
      <c r="O111" s="8">
        <v>2950</v>
      </c>
      <c r="P111" s="9" t="s">
        <v>26</v>
      </c>
      <c r="Q111" s="20" t="s">
        <v>47</v>
      </c>
      <c r="T111" s="8">
        <f t="shared" si="1"/>
        <v>2950</v>
      </c>
    </row>
    <row r="112" spans="2:20" x14ac:dyDescent="0.35">
      <c r="B112" s="15">
        <v>115</v>
      </c>
      <c r="C112" s="16" t="s">
        <v>273</v>
      </c>
      <c r="D112" s="17">
        <v>85</v>
      </c>
      <c r="E112" s="35">
        <v>45801</v>
      </c>
      <c r="F112" s="23">
        <v>45778</v>
      </c>
      <c r="G112" s="11" t="s">
        <v>859</v>
      </c>
      <c r="H112" s="11" t="s">
        <v>284</v>
      </c>
      <c r="I112" s="17" t="s">
        <v>285</v>
      </c>
      <c r="J112" s="18" t="s">
        <v>105</v>
      </c>
      <c r="K112" s="19">
        <v>6250</v>
      </c>
      <c r="L112" s="8">
        <v>1125</v>
      </c>
      <c r="M112" s="8">
        <v>7376</v>
      </c>
      <c r="N112" s="8"/>
      <c r="O112" s="8">
        <v>7376</v>
      </c>
      <c r="P112" s="9" t="s">
        <v>41</v>
      </c>
      <c r="Q112" s="20" t="s">
        <v>155</v>
      </c>
      <c r="T112" s="8">
        <f t="shared" si="1"/>
        <v>7376</v>
      </c>
    </row>
    <row r="113" spans="2:21" x14ac:dyDescent="0.35">
      <c r="B113" s="15">
        <v>116</v>
      </c>
      <c r="C113" s="16" t="s">
        <v>262</v>
      </c>
      <c r="D113" s="17" t="s">
        <v>286</v>
      </c>
      <c r="E113" s="35">
        <v>45801</v>
      </c>
      <c r="F113" s="22">
        <v>45778</v>
      </c>
      <c r="G113" s="11" t="s">
        <v>859</v>
      </c>
      <c r="H113" s="7" t="s">
        <v>287</v>
      </c>
      <c r="I113" s="17" t="s">
        <v>288</v>
      </c>
      <c r="J113" s="18" t="s">
        <v>289</v>
      </c>
      <c r="K113" s="21">
        <v>60206</v>
      </c>
      <c r="L113" s="8">
        <v>10837</v>
      </c>
      <c r="M113" s="8">
        <v>71044</v>
      </c>
      <c r="N113" s="8">
        <v>1204.1300000000001</v>
      </c>
      <c r="O113" s="8">
        <v>69839</v>
      </c>
      <c r="P113" s="9" t="s">
        <v>41</v>
      </c>
      <c r="Q113" s="12" t="s">
        <v>241</v>
      </c>
      <c r="T113" s="8">
        <f t="shared" si="1"/>
        <v>71043.13</v>
      </c>
    </row>
    <row r="114" spans="2:21" x14ac:dyDescent="0.35">
      <c r="B114" s="15">
        <v>117</v>
      </c>
      <c r="C114" s="16" t="s">
        <v>262</v>
      </c>
      <c r="D114" s="17" t="s">
        <v>290</v>
      </c>
      <c r="E114" s="35">
        <v>45801</v>
      </c>
      <c r="F114" s="22">
        <v>45778</v>
      </c>
      <c r="G114" s="11" t="s">
        <v>859</v>
      </c>
      <c r="H114" s="7" t="s">
        <v>287</v>
      </c>
      <c r="I114" s="17" t="s">
        <v>291</v>
      </c>
      <c r="J114" s="18" t="s">
        <v>289</v>
      </c>
      <c r="K114" s="21">
        <v>749175</v>
      </c>
      <c r="L114" s="8">
        <v>134851</v>
      </c>
      <c r="M114" s="8">
        <v>884026</v>
      </c>
      <c r="N114" s="8">
        <v>14983</v>
      </c>
      <c r="O114" s="8">
        <v>869043</v>
      </c>
      <c r="P114" s="9" t="s">
        <v>41</v>
      </c>
      <c r="Q114" s="12" t="s">
        <v>20</v>
      </c>
      <c r="T114" s="8">
        <v>442013</v>
      </c>
      <c r="U114" s="55"/>
    </row>
    <row r="115" spans="2:21" x14ac:dyDescent="0.35">
      <c r="B115" s="15">
        <v>118</v>
      </c>
      <c r="C115" s="16" t="s">
        <v>262</v>
      </c>
      <c r="D115" s="17" t="s">
        <v>292</v>
      </c>
      <c r="E115" s="35">
        <v>45801</v>
      </c>
      <c r="F115" s="22">
        <v>45778</v>
      </c>
      <c r="G115" s="11" t="s">
        <v>859</v>
      </c>
      <c r="H115" s="7" t="s">
        <v>287</v>
      </c>
      <c r="I115" s="17" t="s">
        <v>293</v>
      </c>
      <c r="J115" s="18" t="s">
        <v>289</v>
      </c>
      <c r="K115" s="21">
        <v>594663</v>
      </c>
      <c r="L115" s="8">
        <v>107039</v>
      </c>
      <c r="M115" s="8">
        <v>701702</v>
      </c>
      <c r="N115" s="8">
        <v>11893</v>
      </c>
      <c r="O115" s="8">
        <v>689809</v>
      </c>
      <c r="P115" s="9" t="s">
        <v>41</v>
      </c>
      <c r="Q115" s="12" t="s">
        <v>20</v>
      </c>
      <c r="T115" s="8">
        <v>350851</v>
      </c>
      <c r="U115" s="55"/>
    </row>
    <row r="116" spans="2:21" x14ac:dyDescent="0.35">
      <c r="B116" s="15">
        <v>119</v>
      </c>
      <c r="C116" s="16" t="s">
        <v>262</v>
      </c>
      <c r="D116" s="17" t="s">
        <v>294</v>
      </c>
      <c r="E116" s="35">
        <v>45801</v>
      </c>
      <c r="F116" s="22">
        <v>45778</v>
      </c>
      <c r="G116" s="11" t="s">
        <v>859</v>
      </c>
      <c r="H116" s="7" t="s">
        <v>287</v>
      </c>
      <c r="I116" s="17" t="s">
        <v>295</v>
      </c>
      <c r="J116" s="18" t="s">
        <v>289</v>
      </c>
      <c r="K116" s="21">
        <v>873304</v>
      </c>
      <c r="L116" s="8">
        <v>157195</v>
      </c>
      <c r="M116" s="8">
        <v>1030499</v>
      </c>
      <c r="N116" s="8">
        <v>17466</v>
      </c>
      <c r="O116" s="8">
        <v>1013032</v>
      </c>
      <c r="P116" s="9" t="s">
        <v>41</v>
      </c>
      <c r="Q116" s="12" t="s">
        <v>20</v>
      </c>
      <c r="T116" s="8">
        <v>515249</v>
      </c>
      <c r="U116" s="55"/>
    </row>
    <row r="117" spans="2:21" x14ac:dyDescent="0.35">
      <c r="B117" s="15">
        <v>120</v>
      </c>
      <c r="C117" s="16">
        <v>45693</v>
      </c>
      <c r="D117" s="17" t="s">
        <v>296</v>
      </c>
      <c r="E117" s="35">
        <v>45801</v>
      </c>
      <c r="F117" s="23">
        <v>45778</v>
      </c>
      <c r="G117" s="11" t="s">
        <v>859</v>
      </c>
      <c r="H117" s="11" t="s">
        <v>297</v>
      </c>
      <c r="I117" s="17" t="s">
        <v>298</v>
      </c>
      <c r="J117" s="18" t="s">
        <v>299</v>
      </c>
      <c r="K117" s="19">
        <v>41715</v>
      </c>
      <c r="L117" s="8">
        <v>7508</v>
      </c>
      <c r="M117" s="8">
        <v>49223</v>
      </c>
      <c r="N117" s="8"/>
      <c r="O117" s="8">
        <v>24612</v>
      </c>
      <c r="P117" s="9" t="s">
        <v>26</v>
      </c>
      <c r="Q117" s="12" t="s">
        <v>241</v>
      </c>
      <c r="T117" s="8">
        <f t="shared" si="1"/>
        <v>24612</v>
      </c>
    </row>
    <row r="118" spans="2:21" x14ac:dyDescent="0.35">
      <c r="B118" s="15">
        <v>121</v>
      </c>
      <c r="C118" s="16" t="s">
        <v>300</v>
      </c>
      <c r="D118" s="17"/>
      <c r="E118" s="35">
        <v>45806</v>
      </c>
      <c r="F118" s="23">
        <v>45778</v>
      </c>
      <c r="G118" s="11" t="s">
        <v>859</v>
      </c>
      <c r="H118" s="7" t="s">
        <v>120</v>
      </c>
      <c r="I118" s="17" t="s">
        <v>301</v>
      </c>
      <c r="J118" s="10" t="s">
        <v>122</v>
      </c>
      <c r="K118" s="19">
        <v>4570</v>
      </c>
      <c r="L118" s="8"/>
      <c r="M118" s="8">
        <v>4570</v>
      </c>
      <c r="N118" s="8"/>
      <c r="O118" s="8">
        <v>4570</v>
      </c>
      <c r="P118" s="9" t="s">
        <v>26</v>
      </c>
      <c r="Q118" s="12" t="s">
        <v>27</v>
      </c>
      <c r="T118" s="8">
        <f t="shared" si="1"/>
        <v>4570</v>
      </c>
    </row>
    <row r="119" spans="2:21" x14ac:dyDescent="0.35">
      <c r="B119" s="15">
        <v>122</v>
      </c>
      <c r="C119" s="16" t="s">
        <v>302</v>
      </c>
      <c r="D119" s="17"/>
      <c r="E119" s="35">
        <v>45806</v>
      </c>
      <c r="F119" s="23">
        <v>45778</v>
      </c>
      <c r="G119" s="11" t="s">
        <v>859</v>
      </c>
      <c r="H119" s="7" t="s">
        <v>120</v>
      </c>
      <c r="I119" s="17" t="s">
        <v>303</v>
      </c>
      <c r="J119" s="10" t="s">
        <v>122</v>
      </c>
      <c r="K119" s="19">
        <v>2280</v>
      </c>
      <c r="L119" s="8"/>
      <c r="M119" s="8">
        <v>2280</v>
      </c>
      <c r="N119" s="8"/>
      <c r="O119" s="8">
        <v>2280</v>
      </c>
      <c r="P119" s="9" t="s">
        <v>26</v>
      </c>
      <c r="Q119" s="12" t="s">
        <v>27</v>
      </c>
      <c r="T119" s="8">
        <f t="shared" si="1"/>
        <v>2280</v>
      </c>
    </row>
    <row r="120" spans="2:21" x14ac:dyDescent="0.35">
      <c r="B120" s="15">
        <v>123</v>
      </c>
      <c r="C120" s="16" t="s">
        <v>304</v>
      </c>
      <c r="D120" s="17">
        <v>1002</v>
      </c>
      <c r="E120" s="35">
        <v>45806</v>
      </c>
      <c r="F120" s="23">
        <v>45778</v>
      </c>
      <c r="G120" s="11" t="s">
        <v>859</v>
      </c>
      <c r="H120" s="7" t="s">
        <v>305</v>
      </c>
      <c r="I120" s="17" t="s">
        <v>306</v>
      </c>
      <c r="J120" s="18" t="s">
        <v>299</v>
      </c>
      <c r="K120" s="19">
        <v>5900</v>
      </c>
      <c r="L120" s="8">
        <v>1062</v>
      </c>
      <c r="M120" s="8">
        <v>6962</v>
      </c>
      <c r="N120" s="8"/>
      <c r="O120" s="8">
        <v>6962</v>
      </c>
      <c r="P120" s="9" t="s">
        <v>26</v>
      </c>
      <c r="Q120" s="12" t="s">
        <v>241</v>
      </c>
      <c r="T120" s="8">
        <f t="shared" si="1"/>
        <v>6962</v>
      </c>
    </row>
    <row r="121" spans="2:21" x14ac:dyDescent="0.35">
      <c r="B121" s="15">
        <v>124</v>
      </c>
      <c r="C121" s="16" t="s">
        <v>251</v>
      </c>
      <c r="D121" s="17" t="s">
        <v>22</v>
      </c>
      <c r="E121" s="35">
        <v>45806</v>
      </c>
      <c r="F121" s="23">
        <v>45778</v>
      </c>
      <c r="G121" s="11" t="s">
        <v>859</v>
      </c>
      <c r="H121" s="11" t="s">
        <v>307</v>
      </c>
      <c r="I121" s="17" t="s">
        <v>308</v>
      </c>
      <c r="J121" s="18" t="s">
        <v>309</v>
      </c>
      <c r="K121" s="21">
        <v>693239</v>
      </c>
      <c r="L121" s="8">
        <v>124783</v>
      </c>
      <c r="M121" s="8">
        <v>818022</v>
      </c>
      <c r="N121" s="8">
        <v>6932.39</v>
      </c>
      <c r="O121" s="8">
        <v>201039</v>
      </c>
      <c r="P121" s="18" t="s">
        <v>19</v>
      </c>
      <c r="Q121" s="12" t="s">
        <v>241</v>
      </c>
      <c r="T121" s="8">
        <f t="shared" si="1"/>
        <v>207971.39</v>
      </c>
    </row>
    <row r="122" spans="2:21" x14ac:dyDescent="0.35">
      <c r="B122" s="15">
        <v>125</v>
      </c>
      <c r="C122" s="16" t="s">
        <v>302</v>
      </c>
      <c r="D122" s="17" t="s">
        <v>310</v>
      </c>
      <c r="E122" s="35">
        <v>45806</v>
      </c>
      <c r="F122" s="23">
        <v>45778</v>
      </c>
      <c r="G122" s="11" t="s">
        <v>859</v>
      </c>
      <c r="H122" s="11" t="s">
        <v>185</v>
      </c>
      <c r="I122" s="17" t="s">
        <v>311</v>
      </c>
      <c r="J122" s="18" t="s">
        <v>187</v>
      </c>
      <c r="K122" s="19">
        <v>35000</v>
      </c>
      <c r="L122" s="8">
        <v>6300</v>
      </c>
      <c r="M122" s="8">
        <v>41300</v>
      </c>
      <c r="N122" s="8">
        <v>350</v>
      </c>
      <c r="O122" s="8">
        <v>23450</v>
      </c>
      <c r="P122" s="9" t="s">
        <v>41</v>
      </c>
      <c r="Q122" s="20" t="s">
        <v>47</v>
      </c>
      <c r="T122" s="8">
        <f t="shared" si="1"/>
        <v>23800</v>
      </c>
    </row>
    <row r="123" spans="2:21" x14ac:dyDescent="0.35">
      <c r="B123" s="15">
        <v>126</v>
      </c>
      <c r="C123" s="16"/>
      <c r="D123" s="17"/>
      <c r="E123" s="35">
        <v>45807</v>
      </c>
      <c r="F123" s="23">
        <v>45778</v>
      </c>
      <c r="G123" s="11" t="s">
        <v>859</v>
      </c>
      <c r="H123" s="7" t="s">
        <v>143</v>
      </c>
      <c r="I123" s="17" t="s">
        <v>144</v>
      </c>
      <c r="J123" s="18" t="s">
        <v>144</v>
      </c>
      <c r="K123" s="19">
        <v>10</v>
      </c>
      <c r="L123" s="8">
        <v>2</v>
      </c>
      <c r="M123" s="8">
        <v>12</v>
      </c>
      <c r="N123" s="8"/>
      <c r="O123" s="8">
        <v>12</v>
      </c>
      <c r="P123" s="9" t="s">
        <v>41</v>
      </c>
      <c r="Q123" s="20" t="s">
        <v>858</v>
      </c>
      <c r="T123" s="8">
        <f t="shared" si="1"/>
        <v>12</v>
      </c>
    </row>
    <row r="124" spans="2:21" x14ac:dyDescent="0.35">
      <c r="B124" s="15">
        <v>127</v>
      </c>
      <c r="C124" s="16" t="s">
        <v>262</v>
      </c>
      <c r="D124" s="17" t="s">
        <v>22</v>
      </c>
      <c r="E124" s="35">
        <v>45806</v>
      </c>
      <c r="F124" s="23">
        <v>45778</v>
      </c>
      <c r="G124" s="11" t="s">
        <v>859</v>
      </c>
      <c r="H124" s="11" t="s">
        <v>185</v>
      </c>
      <c r="I124" s="17" t="s">
        <v>312</v>
      </c>
      <c r="J124" s="18" t="s">
        <v>309</v>
      </c>
      <c r="K124" s="21">
        <v>111440</v>
      </c>
      <c r="L124" s="8">
        <v>20059</v>
      </c>
      <c r="M124" s="8">
        <v>131499</v>
      </c>
      <c r="N124" s="8">
        <v>1114</v>
      </c>
      <c r="O124" s="8">
        <v>32318</v>
      </c>
      <c r="P124" s="9" t="s">
        <v>41</v>
      </c>
      <c r="Q124" s="20" t="s">
        <v>47</v>
      </c>
      <c r="T124" s="8">
        <f t="shared" si="1"/>
        <v>33432</v>
      </c>
    </row>
    <row r="125" spans="2:21" x14ac:dyDescent="0.35">
      <c r="B125" s="15">
        <v>128</v>
      </c>
      <c r="C125" s="16"/>
      <c r="D125" s="17"/>
      <c r="E125" s="35">
        <v>45790</v>
      </c>
      <c r="F125" s="22">
        <v>45748</v>
      </c>
      <c r="G125" s="11" t="s">
        <v>859</v>
      </c>
      <c r="H125" s="7" t="s">
        <v>145</v>
      </c>
      <c r="I125" s="17" t="s">
        <v>313</v>
      </c>
      <c r="J125" s="10" t="s">
        <v>147</v>
      </c>
      <c r="K125" s="21">
        <v>868471</v>
      </c>
      <c r="L125" s="8"/>
      <c r="M125" s="8">
        <v>868471</v>
      </c>
      <c r="N125" s="8"/>
      <c r="O125" s="8">
        <v>868471</v>
      </c>
      <c r="P125" s="9" t="s">
        <v>41</v>
      </c>
      <c r="Q125" s="12" t="s">
        <v>93</v>
      </c>
      <c r="T125" s="8">
        <f t="shared" si="1"/>
        <v>868471</v>
      </c>
    </row>
    <row r="126" spans="2:21" x14ac:dyDescent="0.35">
      <c r="B126" s="15">
        <v>129</v>
      </c>
      <c r="C126" s="16" t="s">
        <v>314</v>
      </c>
      <c r="D126" s="17" t="s">
        <v>315</v>
      </c>
      <c r="E126" s="35">
        <v>45812</v>
      </c>
      <c r="F126" s="23">
        <v>45809</v>
      </c>
      <c r="G126" s="11" t="s">
        <v>859</v>
      </c>
      <c r="H126" s="11" t="s">
        <v>316</v>
      </c>
      <c r="I126" s="17" t="s">
        <v>317</v>
      </c>
      <c r="J126" s="18" t="s">
        <v>299</v>
      </c>
      <c r="K126" s="19">
        <v>41715</v>
      </c>
      <c r="L126" s="8">
        <v>7509</v>
      </c>
      <c r="M126" s="8">
        <v>49224</v>
      </c>
      <c r="N126" s="8">
        <v>417</v>
      </c>
      <c r="O126" s="8">
        <v>24195</v>
      </c>
      <c r="P126" s="9" t="s">
        <v>26</v>
      </c>
      <c r="Q126" s="12" t="s">
        <v>241</v>
      </c>
      <c r="T126" s="8">
        <f t="shared" si="1"/>
        <v>24612</v>
      </c>
    </row>
    <row r="127" spans="2:21" x14ac:dyDescent="0.35">
      <c r="B127" s="15">
        <v>130</v>
      </c>
      <c r="C127" s="16" t="s">
        <v>304</v>
      </c>
      <c r="D127" s="17" t="s">
        <v>318</v>
      </c>
      <c r="E127" s="35">
        <v>45812</v>
      </c>
      <c r="F127" s="23">
        <v>45778</v>
      </c>
      <c r="G127" s="11" t="s">
        <v>859</v>
      </c>
      <c r="H127" s="11" t="s">
        <v>275</v>
      </c>
      <c r="I127" s="17" t="s">
        <v>319</v>
      </c>
      <c r="J127" s="18" t="s">
        <v>277</v>
      </c>
      <c r="K127" s="19">
        <v>1200</v>
      </c>
      <c r="L127" s="8">
        <v>216</v>
      </c>
      <c r="M127" s="8">
        <v>1416</v>
      </c>
      <c r="N127" s="8"/>
      <c r="O127" s="8">
        <v>1416</v>
      </c>
      <c r="P127" s="9" t="s">
        <v>26</v>
      </c>
      <c r="Q127" s="20" t="s">
        <v>27</v>
      </c>
      <c r="T127" s="8">
        <f t="shared" si="1"/>
        <v>1416</v>
      </c>
    </row>
    <row r="128" spans="2:21" x14ac:dyDescent="0.35">
      <c r="B128" s="15">
        <v>131</v>
      </c>
      <c r="C128" s="16" t="s">
        <v>320</v>
      </c>
      <c r="D128" s="17" t="s">
        <v>321</v>
      </c>
      <c r="E128" s="35">
        <v>45812</v>
      </c>
      <c r="F128" s="23">
        <v>45809</v>
      </c>
      <c r="G128" s="11" t="s">
        <v>859</v>
      </c>
      <c r="H128" s="11" t="s">
        <v>322</v>
      </c>
      <c r="I128" s="17" t="s">
        <v>323</v>
      </c>
      <c r="J128" s="18" t="s">
        <v>324</v>
      </c>
      <c r="K128" s="19">
        <v>38152</v>
      </c>
      <c r="L128" s="8">
        <v>6867</v>
      </c>
      <c r="M128" s="8">
        <v>44100</v>
      </c>
      <c r="N128" s="8"/>
      <c r="O128" s="8">
        <v>44100</v>
      </c>
      <c r="P128" s="9" t="s">
        <v>26</v>
      </c>
      <c r="Q128" s="20" t="s">
        <v>20</v>
      </c>
      <c r="T128" s="8">
        <f t="shared" si="1"/>
        <v>44100</v>
      </c>
    </row>
    <row r="129" spans="2:20" x14ac:dyDescent="0.35">
      <c r="B129" s="15">
        <v>132</v>
      </c>
      <c r="C129" s="16" t="s">
        <v>304</v>
      </c>
      <c r="D129" s="17">
        <v>1530</v>
      </c>
      <c r="E129" s="35">
        <v>45812</v>
      </c>
      <c r="F129" s="23">
        <v>45809</v>
      </c>
      <c r="G129" s="11" t="s">
        <v>859</v>
      </c>
      <c r="H129" s="7" t="s">
        <v>174</v>
      </c>
      <c r="I129" s="17" t="s">
        <v>325</v>
      </c>
      <c r="J129" s="10" t="s">
        <v>176</v>
      </c>
      <c r="K129" s="19">
        <v>29200</v>
      </c>
      <c r="L129" s="8"/>
      <c r="M129" s="8">
        <v>29200</v>
      </c>
      <c r="N129" s="8"/>
      <c r="O129" s="8">
        <v>29200</v>
      </c>
      <c r="P129" s="9" t="s">
        <v>26</v>
      </c>
      <c r="Q129" s="20" t="s">
        <v>155</v>
      </c>
      <c r="T129" s="8">
        <f t="shared" si="1"/>
        <v>29200</v>
      </c>
    </row>
    <row r="130" spans="2:20" x14ac:dyDescent="0.35">
      <c r="B130" s="15">
        <v>133</v>
      </c>
      <c r="C130" s="16" t="s">
        <v>304</v>
      </c>
      <c r="D130" s="17">
        <v>38</v>
      </c>
      <c r="E130" s="35">
        <v>45812</v>
      </c>
      <c r="F130" s="23">
        <v>45809</v>
      </c>
      <c r="G130" s="11" t="s">
        <v>859</v>
      </c>
      <c r="H130" s="11" t="s">
        <v>217</v>
      </c>
      <c r="I130" s="17" t="s">
        <v>326</v>
      </c>
      <c r="J130" s="18" t="s">
        <v>105</v>
      </c>
      <c r="K130" s="19">
        <v>9750</v>
      </c>
      <c r="L130" s="8">
        <v>270</v>
      </c>
      <c r="M130" s="8">
        <v>10020</v>
      </c>
      <c r="N130" s="8"/>
      <c r="O130" s="8">
        <v>10020</v>
      </c>
      <c r="P130" s="9" t="s">
        <v>41</v>
      </c>
      <c r="Q130" s="20" t="s">
        <v>155</v>
      </c>
      <c r="T130" s="8">
        <f t="shared" si="1"/>
        <v>10020</v>
      </c>
    </row>
    <row r="131" spans="2:20" x14ac:dyDescent="0.35">
      <c r="B131" s="15">
        <v>134</v>
      </c>
      <c r="C131" s="16" t="s">
        <v>327</v>
      </c>
      <c r="D131" s="17">
        <v>5</v>
      </c>
      <c r="E131" s="35">
        <v>45812</v>
      </c>
      <c r="F131" s="22">
        <v>45748</v>
      </c>
      <c r="G131" s="11" t="s">
        <v>859</v>
      </c>
      <c r="H131" s="7" t="s">
        <v>152</v>
      </c>
      <c r="I131" s="17" t="s">
        <v>328</v>
      </c>
      <c r="J131" s="18" t="s">
        <v>154</v>
      </c>
      <c r="K131" s="21">
        <v>414942</v>
      </c>
      <c r="L131" s="8">
        <v>74690</v>
      </c>
      <c r="M131" s="8">
        <v>489632</v>
      </c>
      <c r="N131" s="8">
        <v>4149.42</v>
      </c>
      <c r="O131" s="8">
        <v>485482</v>
      </c>
      <c r="P131" s="9" t="s">
        <v>41</v>
      </c>
      <c r="Q131" s="20" t="s">
        <v>155</v>
      </c>
      <c r="T131" s="8">
        <f t="shared" ref="T131:T194" si="2">N131+O131</f>
        <v>489631.42</v>
      </c>
    </row>
    <row r="132" spans="2:20" x14ac:dyDescent="0.35">
      <c r="B132" s="15">
        <v>135</v>
      </c>
      <c r="C132" s="16"/>
      <c r="D132" s="17"/>
      <c r="E132" s="35">
        <v>45812</v>
      </c>
      <c r="F132" s="23">
        <v>45809</v>
      </c>
      <c r="G132" s="11" t="s">
        <v>859</v>
      </c>
      <c r="H132" s="7" t="s">
        <v>16</v>
      </c>
      <c r="I132" s="17" t="s">
        <v>329</v>
      </c>
      <c r="J132" s="18" t="s">
        <v>330</v>
      </c>
      <c r="K132" s="21">
        <v>1371559</v>
      </c>
      <c r="L132" s="8"/>
      <c r="M132" s="8"/>
      <c r="N132" s="8"/>
      <c r="O132" s="8">
        <v>1371559</v>
      </c>
      <c r="P132" s="18" t="s">
        <v>19</v>
      </c>
      <c r="Q132" s="20" t="s">
        <v>20</v>
      </c>
      <c r="T132" s="8">
        <f t="shared" si="2"/>
        <v>1371559</v>
      </c>
    </row>
    <row r="133" spans="2:20" x14ac:dyDescent="0.35">
      <c r="B133" s="15">
        <v>136</v>
      </c>
      <c r="C133" s="16" t="s">
        <v>331</v>
      </c>
      <c r="D133" s="17"/>
      <c r="E133" s="35">
        <v>45816</v>
      </c>
      <c r="F133" s="23">
        <v>45809</v>
      </c>
      <c r="G133" s="11" t="s">
        <v>859</v>
      </c>
      <c r="H133" s="7" t="s">
        <v>120</v>
      </c>
      <c r="I133" s="17" t="s">
        <v>332</v>
      </c>
      <c r="J133" s="10" t="s">
        <v>122</v>
      </c>
      <c r="K133" s="19">
        <v>2216</v>
      </c>
      <c r="L133" s="8"/>
      <c r="M133" s="8">
        <v>2216</v>
      </c>
      <c r="N133" s="8"/>
      <c r="O133" s="8">
        <v>2216</v>
      </c>
      <c r="P133" s="9" t="s">
        <v>26</v>
      </c>
      <c r="Q133" s="12" t="s">
        <v>27</v>
      </c>
      <c r="T133" s="8">
        <f t="shared" si="2"/>
        <v>2216</v>
      </c>
    </row>
    <row r="134" spans="2:20" x14ac:dyDescent="0.35">
      <c r="B134" s="15">
        <v>137</v>
      </c>
      <c r="C134" s="16">
        <v>45694</v>
      </c>
      <c r="D134" s="17" t="s">
        <v>333</v>
      </c>
      <c r="E134" s="35">
        <v>45816</v>
      </c>
      <c r="F134" s="22">
        <v>45778</v>
      </c>
      <c r="G134" s="11" t="s">
        <v>859</v>
      </c>
      <c r="H134" s="7" t="s">
        <v>49</v>
      </c>
      <c r="I134" s="17" t="s">
        <v>334</v>
      </c>
      <c r="J134" s="10" t="s">
        <v>51</v>
      </c>
      <c r="K134" s="19">
        <v>7500</v>
      </c>
      <c r="L134" s="8">
        <v>1350</v>
      </c>
      <c r="M134" s="8">
        <v>8850</v>
      </c>
      <c r="N134" s="8">
        <v>75</v>
      </c>
      <c r="O134" s="8">
        <v>8775</v>
      </c>
      <c r="P134" s="9" t="s">
        <v>41</v>
      </c>
      <c r="Q134" s="20" t="s">
        <v>31</v>
      </c>
      <c r="T134" s="8">
        <f t="shared" si="2"/>
        <v>8850</v>
      </c>
    </row>
    <row r="135" spans="2:20" x14ac:dyDescent="0.35">
      <c r="B135" s="15">
        <v>138</v>
      </c>
      <c r="C135" s="16" t="s">
        <v>262</v>
      </c>
      <c r="D135" s="17" t="s">
        <v>22</v>
      </c>
      <c r="E135" s="35">
        <v>45816</v>
      </c>
      <c r="F135" s="22">
        <v>45809</v>
      </c>
      <c r="G135" s="11" t="s">
        <v>859</v>
      </c>
      <c r="H135" s="7" t="s">
        <v>279</v>
      </c>
      <c r="I135" s="17" t="s">
        <v>335</v>
      </c>
      <c r="J135" s="18" t="s">
        <v>336</v>
      </c>
      <c r="K135" s="19">
        <v>62506</v>
      </c>
      <c r="L135" s="8">
        <v>11251</v>
      </c>
      <c r="M135" s="8">
        <v>73757</v>
      </c>
      <c r="N135" s="8"/>
      <c r="O135" s="8">
        <v>31253</v>
      </c>
      <c r="P135" s="9" t="s">
        <v>26</v>
      </c>
      <c r="Q135" s="12" t="s">
        <v>93</v>
      </c>
      <c r="T135" s="8">
        <f t="shared" si="2"/>
        <v>31253</v>
      </c>
    </row>
    <row r="136" spans="2:20" x14ac:dyDescent="0.35">
      <c r="B136" s="15">
        <v>139</v>
      </c>
      <c r="C136" s="16" t="s">
        <v>331</v>
      </c>
      <c r="D136" s="17" t="s">
        <v>22</v>
      </c>
      <c r="E136" s="35">
        <v>45816</v>
      </c>
      <c r="F136" s="22">
        <v>45809</v>
      </c>
      <c r="G136" s="11" t="s">
        <v>859</v>
      </c>
      <c r="H136" s="7" t="s">
        <v>279</v>
      </c>
      <c r="I136" s="17" t="s">
        <v>337</v>
      </c>
      <c r="J136" s="18" t="s">
        <v>336</v>
      </c>
      <c r="K136" s="19">
        <v>75648</v>
      </c>
      <c r="L136" s="8">
        <v>13617</v>
      </c>
      <c r="M136" s="8">
        <v>89265</v>
      </c>
      <c r="N136" s="8"/>
      <c r="O136" s="8">
        <v>37824</v>
      </c>
      <c r="P136" s="9" t="s">
        <v>26</v>
      </c>
      <c r="Q136" s="12" t="s">
        <v>93</v>
      </c>
      <c r="T136" s="8">
        <f t="shared" si="2"/>
        <v>37824</v>
      </c>
    </row>
    <row r="137" spans="2:20" x14ac:dyDescent="0.35">
      <c r="B137" s="15">
        <v>140</v>
      </c>
      <c r="C137" s="16"/>
      <c r="D137" s="17"/>
      <c r="E137" s="35">
        <v>45818</v>
      </c>
      <c r="F137" s="22">
        <v>45778</v>
      </c>
      <c r="G137" s="11" t="s">
        <v>859</v>
      </c>
      <c r="H137" s="7" t="s">
        <v>221</v>
      </c>
      <c r="I137" s="17" t="s">
        <v>222</v>
      </c>
      <c r="J137" s="18" t="s">
        <v>223</v>
      </c>
      <c r="K137" s="21">
        <v>81523</v>
      </c>
      <c r="L137" s="8">
        <v>14674.14</v>
      </c>
      <c r="M137" s="8">
        <v>96197.14</v>
      </c>
      <c r="N137" s="8">
        <v>815.23</v>
      </c>
      <c r="O137" s="8">
        <v>95381.91</v>
      </c>
      <c r="P137" s="9" t="s">
        <v>41</v>
      </c>
      <c r="Q137" s="12" t="s">
        <v>47</v>
      </c>
      <c r="T137" s="8">
        <f t="shared" si="2"/>
        <v>96197.14</v>
      </c>
    </row>
    <row r="138" spans="2:20" x14ac:dyDescent="0.35">
      <c r="B138" s="15">
        <v>141</v>
      </c>
      <c r="C138" s="16"/>
      <c r="D138" s="17"/>
      <c r="E138" s="35">
        <v>45818</v>
      </c>
      <c r="F138" s="22">
        <v>45778</v>
      </c>
      <c r="G138" s="11" t="s">
        <v>859</v>
      </c>
      <c r="H138" s="7" t="s">
        <v>221</v>
      </c>
      <c r="I138" s="17" t="s">
        <v>224</v>
      </c>
      <c r="J138" s="18" t="s">
        <v>223</v>
      </c>
      <c r="K138" s="21">
        <v>56452</v>
      </c>
      <c r="L138" s="8">
        <v>10161.359999999999</v>
      </c>
      <c r="M138" s="8">
        <v>66613.36</v>
      </c>
      <c r="N138" s="8">
        <v>564.52</v>
      </c>
      <c r="O138" s="8">
        <v>66048.84</v>
      </c>
      <c r="P138" s="9" t="s">
        <v>41</v>
      </c>
      <c r="Q138" s="12" t="s">
        <v>47</v>
      </c>
      <c r="T138" s="8">
        <f t="shared" si="2"/>
        <v>66613.36</v>
      </c>
    </row>
    <row r="139" spans="2:20" x14ac:dyDescent="0.35">
      <c r="B139" s="15">
        <v>142</v>
      </c>
      <c r="C139" s="16"/>
      <c r="D139" s="17"/>
      <c r="E139" s="35">
        <v>45818</v>
      </c>
      <c r="F139" s="22">
        <v>45778</v>
      </c>
      <c r="G139" s="11" t="s">
        <v>859</v>
      </c>
      <c r="H139" s="7" t="s">
        <v>221</v>
      </c>
      <c r="I139" s="17" t="s">
        <v>225</v>
      </c>
      <c r="J139" s="18" t="s">
        <v>223</v>
      </c>
      <c r="K139" s="21">
        <v>29729</v>
      </c>
      <c r="L139" s="8">
        <v>5351.22</v>
      </c>
      <c r="M139" s="8">
        <v>35080.22</v>
      </c>
      <c r="N139" s="8">
        <v>297.29000000000002</v>
      </c>
      <c r="O139" s="8">
        <v>34782.93</v>
      </c>
      <c r="P139" s="9" t="s">
        <v>41</v>
      </c>
      <c r="Q139" s="12" t="s">
        <v>47</v>
      </c>
      <c r="T139" s="8">
        <f t="shared" si="2"/>
        <v>35080.22</v>
      </c>
    </row>
    <row r="140" spans="2:20" x14ac:dyDescent="0.35">
      <c r="B140" s="15">
        <v>143</v>
      </c>
      <c r="C140" s="16"/>
      <c r="D140" s="17"/>
      <c r="E140" s="35">
        <v>45818</v>
      </c>
      <c r="F140" s="22">
        <v>45778</v>
      </c>
      <c r="G140" s="11" t="s">
        <v>859</v>
      </c>
      <c r="H140" s="7" t="s">
        <v>221</v>
      </c>
      <c r="I140" s="17" t="s">
        <v>226</v>
      </c>
      <c r="J140" s="18" t="s">
        <v>223</v>
      </c>
      <c r="K140" s="21">
        <v>52955</v>
      </c>
      <c r="L140" s="8">
        <v>9531.9</v>
      </c>
      <c r="M140" s="8">
        <v>62486.9</v>
      </c>
      <c r="N140" s="8">
        <v>529.54999999999995</v>
      </c>
      <c r="O140" s="8">
        <v>61957.35</v>
      </c>
      <c r="P140" s="9" t="s">
        <v>41</v>
      </c>
      <c r="Q140" s="12" t="s">
        <v>47</v>
      </c>
      <c r="T140" s="8">
        <f t="shared" si="2"/>
        <v>62486.9</v>
      </c>
    </row>
    <row r="141" spans="2:20" x14ac:dyDescent="0.35">
      <c r="B141" s="15">
        <v>144</v>
      </c>
      <c r="C141" s="16"/>
      <c r="D141" s="17"/>
      <c r="E141" s="35">
        <v>45818</v>
      </c>
      <c r="F141" s="22">
        <v>45778</v>
      </c>
      <c r="G141" s="11" t="s">
        <v>859</v>
      </c>
      <c r="H141" s="7" t="s">
        <v>221</v>
      </c>
      <c r="I141" s="17" t="s">
        <v>227</v>
      </c>
      <c r="J141" s="18" t="s">
        <v>223</v>
      </c>
      <c r="K141" s="21">
        <v>30780</v>
      </c>
      <c r="L141" s="8">
        <v>5540.4</v>
      </c>
      <c r="M141" s="8">
        <v>36320.400000000001</v>
      </c>
      <c r="N141" s="8">
        <v>307.8</v>
      </c>
      <c r="O141" s="8">
        <v>36012.6</v>
      </c>
      <c r="P141" s="9" t="s">
        <v>41</v>
      </c>
      <c r="Q141" s="12" t="s">
        <v>47</v>
      </c>
      <c r="T141" s="8">
        <f t="shared" si="2"/>
        <v>36320.400000000001</v>
      </c>
    </row>
    <row r="142" spans="2:20" x14ac:dyDescent="0.35">
      <c r="B142" s="15">
        <v>145</v>
      </c>
      <c r="C142" s="16"/>
      <c r="D142" s="17"/>
      <c r="E142" s="35">
        <v>45818</v>
      </c>
      <c r="F142" s="22">
        <v>45778</v>
      </c>
      <c r="G142" s="11" t="s">
        <v>859</v>
      </c>
      <c r="H142" s="7" t="s">
        <v>221</v>
      </c>
      <c r="I142" s="17" t="s">
        <v>228</v>
      </c>
      <c r="J142" s="10" t="s">
        <v>229</v>
      </c>
      <c r="K142" s="21">
        <v>192653</v>
      </c>
      <c r="L142" s="8">
        <v>34677.54</v>
      </c>
      <c r="M142" s="8">
        <v>227330.54</v>
      </c>
      <c r="N142" s="8">
        <v>1926.53</v>
      </c>
      <c r="O142" s="8">
        <v>225404.01</v>
      </c>
      <c r="P142" s="9" t="s">
        <v>41</v>
      </c>
      <c r="Q142" s="12" t="s">
        <v>93</v>
      </c>
      <c r="T142" s="8">
        <f t="shared" si="2"/>
        <v>227330.54</v>
      </c>
    </row>
    <row r="143" spans="2:20" x14ac:dyDescent="0.35">
      <c r="B143" s="15">
        <v>146</v>
      </c>
      <c r="C143" s="16"/>
      <c r="D143" s="17"/>
      <c r="E143" s="35">
        <v>45818</v>
      </c>
      <c r="F143" s="22">
        <v>45778</v>
      </c>
      <c r="G143" s="11" t="s">
        <v>859</v>
      </c>
      <c r="H143" s="7" t="s">
        <v>221</v>
      </c>
      <c r="I143" s="17" t="s">
        <v>230</v>
      </c>
      <c r="J143" s="10" t="s">
        <v>231</v>
      </c>
      <c r="K143" s="21">
        <v>208369</v>
      </c>
      <c r="L143" s="8">
        <v>37506.42</v>
      </c>
      <c r="M143" s="8">
        <v>245875.41999999998</v>
      </c>
      <c r="N143" s="8">
        <v>2083.69</v>
      </c>
      <c r="O143" s="8">
        <v>243791.72999999998</v>
      </c>
      <c r="P143" s="9" t="s">
        <v>41</v>
      </c>
      <c r="Q143" s="12" t="s">
        <v>27</v>
      </c>
      <c r="T143" s="8">
        <f t="shared" si="2"/>
        <v>245875.41999999998</v>
      </c>
    </row>
    <row r="144" spans="2:20" ht="28.5" x14ac:dyDescent="0.35">
      <c r="B144" s="15">
        <v>147</v>
      </c>
      <c r="C144" s="16"/>
      <c r="D144" s="17"/>
      <c r="E144" s="35">
        <v>45818</v>
      </c>
      <c r="F144" s="22">
        <v>45778</v>
      </c>
      <c r="G144" s="11" t="s">
        <v>859</v>
      </c>
      <c r="H144" s="7" t="s">
        <v>221</v>
      </c>
      <c r="I144" s="17" t="s">
        <v>232</v>
      </c>
      <c r="J144" s="10" t="s">
        <v>233</v>
      </c>
      <c r="K144" s="21">
        <v>26129</v>
      </c>
      <c r="L144" s="8">
        <v>4703.22</v>
      </c>
      <c r="M144" s="8">
        <v>30832.22</v>
      </c>
      <c r="N144" s="8">
        <v>261.29000000000002</v>
      </c>
      <c r="O144" s="8">
        <v>30570.93</v>
      </c>
      <c r="P144" s="9" t="s">
        <v>41</v>
      </c>
      <c r="Q144" s="12" t="s">
        <v>20</v>
      </c>
      <c r="T144" s="8">
        <f t="shared" si="2"/>
        <v>30832.22</v>
      </c>
    </row>
    <row r="145" spans="2:20" ht="28.5" x14ac:dyDescent="0.35">
      <c r="B145" s="15">
        <v>148</v>
      </c>
      <c r="C145" s="16"/>
      <c r="D145" s="17"/>
      <c r="E145" s="35">
        <v>45818</v>
      </c>
      <c r="F145" s="22">
        <v>45778</v>
      </c>
      <c r="G145" s="11" t="s">
        <v>859</v>
      </c>
      <c r="H145" s="7" t="s">
        <v>221</v>
      </c>
      <c r="I145" s="17" t="s">
        <v>234</v>
      </c>
      <c r="J145" s="10" t="s">
        <v>233</v>
      </c>
      <c r="K145" s="21">
        <v>32903</v>
      </c>
      <c r="L145" s="8">
        <v>5922.54</v>
      </c>
      <c r="M145" s="8">
        <v>38825.54</v>
      </c>
      <c r="N145" s="8">
        <v>329.03000000000003</v>
      </c>
      <c r="O145" s="8">
        <v>38496.51</v>
      </c>
      <c r="P145" s="9" t="s">
        <v>41</v>
      </c>
      <c r="Q145" s="12" t="s">
        <v>20</v>
      </c>
      <c r="T145" s="8">
        <f t="shared" si="2"/>
        <v>38825.54</v>
      </c>
    </row>
    <row r="146" spans="2:20" x14ac:dyDescent="0.35">
      <c r="B146" s="15">
        <v>149</v>
      </c>
      <c r="C146" s="16"/>
      <c r="D146" s="17"/>
      <c r="E146" s="35">
        <v>45818</v>
      </c>
      <c r="F146" s="22">
        <v>45778</v>
      </c>
      <c r="G146" s="11" t="s">
        <v>859</v>
      </c>
      <c r="H146" s="7" t="s">
        <v>221</v>
      </c>
      <c r="I146" s="17" t="s">
        <v>235</v>
      </c>
      <c r="J146" s="10" t="s">
        <v>236</v>
      </c>
      <c r="K146" s="21">
        <v>29032</v>
      </c>
      <c r="L146" s="8">
        <v>5225.76</v>
      </c>
      <c r="M146" s="8">
        <v>34257.760000000002</v>
      </c>
      <c r="N146" s="8">
        <v>290.32</v>
      </c>
      <c r="O146" s="8">
        <v>33967.440000000002</v>
      </c>
      <c r="P146" s="9" t="s">
        <v>41</v>
      </c>
      <c r="Q146" s="12" t="s">
        <v>67</v>
      </c>
      <c r="T146" s="8">
        <f t="shared" si="2"/>
        <v>34257.760000000002</v>
      </c>
    </row>
    <row r="147" spans="2:20" x14ac:dyDescent="0.35">
      <c r="B147" s="15">
        <v>150</v>
      </c>
      <c r="C147" s="16"/>
      <c r="D147" s="17"/>
      <c r="E147" s="35">
        <v>45818</v>
      </c>
      <c r="F147" s="22">
        <v>45778</v>
      </c>
      <c r="G147" s="11" t="s">
        <v>859</v>
      </c>
      <c r="H147" s="7" t="s">
        <v>221</v>
      </c>
      <c r="I147" s="17" t="s">
        <v>237</v>
      </c>
      <c r="J147" s="10" t="s">
        <v>236</v>
      </c>
      <c r="K147" s="21">
        <v>622679</v>
      </c>
      <c r="L147" s="8">
        <v>112082.22</v>
      </c>
      <c r="M147" s="8">
        <v>734761.22</v>
      </c>
      <c r="N147" s="8">
        <v>6226.79</v>
      </c>
      <c r="O147" s="8">
        <v>728534.42999999993</v>
      </c>
      <c r="P147" s="9" t="s">
        <v>41</v>
      </c>
      <c r="Q147" s="12" t="s">
        <v>67</v>
      </c>
      <c r="T147" s="8">
        <f t="shared" si="2"/>
        <v>734761.22</v>
      </c>
    </row>
    <row r="148" spans="2:20" x14ac:dyDescent="0.35">
      <c r="B148" s="15">
        <v>151</v>
      </c>
      <c r="C148" s="16"/>
      <c r="D148" s="17"/>
      <c r="E148" s="35">
        <v>45818</v>
      </c>
      <c r="F148" s="22">
        <v>45778</v>
      </c>
      <c r="G148" s="11" t="s">
        <v>859</v>
      </c>
      <c r="H148" s="7" t="s">
        <v>221</v>
      </c>
      <c r="I148" s="17" t="s">
        <v>238</v>
      </c>
      <c r="J148" s="10" t="s">
        <v>236</v>
      </c>
      <c r="K148" s="21">
        <v>20000</v>
      </c>
      <c r="L148" s="8">
        <v>3600</v>
      </c>
      <c r="M148" s="8">
        <v>23600</v>
      </c>
      <c r="N148" s="8">
        <v>200</v>
      </c>
      <c r="O148" s="8">
        <v>23400</v>
      </c>
      <c r="P148" s="9" t="s">
        <v>41</v>
      </c>
      <c r="Q148" s="12" t="s">
        <v>67</v>
      </c>
      <c r="T148" s="8">
        <f t="shared" si="2"/>
        <v>23600</v>
      </c>
    </row>
    <row r="149" spans="2:20" x14ac:dyDescent="0.35">
      <c r="B149" s="15">
        <v>152</v>
      </c>
      <c r="C149" s="16"/>
      <c r="D149" s="17"/>
      <c r="E149" s="35">
        <v>45818</v>
      </c>
      <c r="F149" s="22">
        <v>45778</v>
      </c>
      <c r="G149" s="11" t="s">
        <v>859</v>
      </c>
      <c r="H149" s="7" t="s">
        <v>221</v>
      </c>
      <c r="I149" s="17" t="s">
        <v>239</v>
      </c>
      <c r="J149" s="10" t="s">
        <v>240</v>
      </c>
      <c r="K149" s="21">
        <v>19000</v>
      </c>
      <c r="L149" s="8">
        <v>3420</v>
      </c>
      <c r="M149" s="8">
        <v>22420</v>
      </c>
      <c r="N149" s="8">
        <v>190</v>
      </c>
      <c r="O149" s="8">
        <v>22230</v>
      </c>
      <c r="P149" s="9" t="s">
        <v>41</v>
      </c>
      <c r="Q149" s="12" t="s">
        <v>241</v>
      </c>
      <c r="T149" s="8">
        <f t="shared" si="2"/>
        <v>22420</v>
      </c>
    </row>
    <row r="150" spans="2:20" x14ac:dyDescent="0.35">
      <c r="B150" s="15">
        <v>153</v>
      </c>
      <c r="C150" s="16"/>
      <c r="D150" s="17"/>
      <c r="E150" s="35">
        <v>45818</v>
      </c>
      <c r="F150" s="22">
        <v>45778</v>
      </c>
      <c r="G150" s="11" t="s">
        <v>859</v>
      </c>
      <c r="H150" s="7" t="s">
        <v>221</v>
      </c>
      <c r="I150" s="17" t="s">
        <v>242</v>
      </c>
      <c r="J150" s="10" t="s">
        <v>236</v>
      </c>
      <c r="K150" s="21">
        <v>36720</v>
      </c>
      <c r="L150" s="8">
        <v>6609.5999999999995</v>
      </c>
      <c r="M150" s="8">
        <v>43329.599999999999</v>
      </c>
      <c r="N150" s="8">
        <v>367.2</v>
      </c>
      <c r="O150" s="8">
        <v>42962.400000000001</v>
      </c>
      <c r="P150" s="9" t="s">
        <v>41</v>
      </c>
      <c r="Q150" s="12" t="s">
        <v>67</v>
      </c>
      <c r="T150" s="8">
        <f t="shared" si="2"/>
        <v>43329.599999999999</v>
      </c>
    </row>
    <row r="151" spans="2:20" x14ac:dyDescent="0.35">
      <c r="B151" s="15">
        <v>154</v>
      </c>
      <c r="C151" s="16"/>
      <c r="D151" s="17"/>
      <c r="E151" s="35">
        <v>45818</v>
      </c>
      <c r="F151" s="22">
        <v>45778</v>
      </c>
      <c r="G151" s="11" t="s">
        <v>859</v>
      </c>
      <c r="H151" s="7" t="s">
        <v>221</v>
      </c>
      <c r="I151" s="17" t="s">
        <v>243</v>
      </c>
      <c r="J151" s="18" t="s">
        <v>223</v>
      </c>
      <c r="K151" s="21"/>
      <c r="L151" s="8"/>
      <c r="M151" s="8"/>
      <c r="N151" s="8"/>
      <c r="O151" s="8">
        <v>13600</v>
      </c>
      <c r="P151" s="9" t="s">
        <v>41</v>
      </c>
      <c r="Q151" s="12" t="s">
        <v>47</v>
      </c>
      <c r="T151" s="8">
        <f t="shared" si="2"/>
        <v>13600</v>
      </c>
    </row>
    <row r="152" spans="2:20" x14ac:dyDescent="0.35">
      <c r="B152" s="15">
        <v>155</v>
      </c>
      <c r="C152" s="16">
        <v>45722</v>
      </c>
      <c r="D152" s="17" t="s">
        <v>338</v>
      </c>
      <c r="E152" s="35">
        <v>45818</v>
      </c>
      <c r="F152" s="22">
        <v>45778</v>
      </c>
      <c r="G152" s="11" t="s">
        <v>859</v>
      </c>
      <c r="H152" s="7" t="s">
        <v>69</v>
      </c>
      <c r="I152" s="17" t="s">
        <v>339</v>
      </c>
      <c r="J152" s="18" t="s">
        <v>71</v>
      </c>
      <c r="K152" s="21">
        <v>1640122</v>
      </c>
      <c r="L152" s="8">
        <v>295222</v>
      </c>
      <c r="M152" s="8">
        <v>1935344</v>
      </c>
      <c r="N152" s="8">
        <v>32802</v>
      </c>
      <c r="O152" s="8">
        <v>1902541</v>
      </c>
      <c r="P152" s="9" t="s">
        <v>41</v>
      </c>
      <c r="Q152" s="20" t="s">
        <v>31</v>
      </c>
      <c r="T152" s="8">
        <f t="shared" si="2"/>
        <v>1935343</v>
      </c>
    </row>
    <row r="153" spans="2:20" x14ac:dyDescent="0.35">
      <c r="B153" s="15">
        <v>156</v>
      </c>
      <c r="C153" s="16">
        <v>45722</v>
      </c>
      <c r="D153" s="17" t="s">
        <v>340</v>
      </c>
      <c r="E153" s="35">
        <v>45816</v>
      </c>
      <c r="F153" s="22">
        <v>45778</v>
      </c>
      <c r="G153" s="11" t="s">
        <v>859</v>
      </c>
      <c r="H153" s="7" t="s">
        <v>69</v>
      </c>
      <c r="I153" s="17" t="s">
        <v>341</v>
      </c>
      <c r="J153" s="18" t="s">
        <v>71</v>
      </c>
      <c r="K153" s="21">
        <v>161643</v>
      </c>
      <c r="L153" s="8">
        <v>29096</v>
      </c>
      <c r="M153" s="8">
        <v>190739</v>
      </c>
      <c r="N153" s="8">
        <v>3232.86</v>
      </c>
      <c r="O153" s="8">
        <v>187506</v>
      </c>
      <c r="P153" s="9" t="s">
        <v>41</v>
      </c>
      <c r="Q153" s="20" t="s">
        <v>31</v>
      </c>
      <c r="T153" s="8">
        <f t="shared" si="2"/>
        <v>190738.86</v>
      </c>
    </row>
    <row r="154" spans="2:20" x14ac:dyDescent="0.35">
      <c r="B154" s="15">
        <v>157</v>
      </c>
      <c r="C154" s="16">
        <v>45722</v>
      </c>
      <c r="D154" s="17" t="s">
        <v>342</v>
      </c>
      <c r="E154" s="35">
        <v>45816</v>
      </c>
      <c r="F154" s="22">
        <v>45778</v>
      </c>
      <c r="G154" s="11" t="s">
        <v>859</v>
      </c>
      <c r="H154" s="7" t="s">
        <v>69</v>
      </c>
      <c r="I154" s="17" t="s">
        <v>343</v>
      </c>
      <c r="J154" s="18" t="s">
        <v>71</v>
      </c>
      <c r="K154" s="19">
        <v>43411</v>
      </c>
      <c r="L154" s="8">
        <v>7814</v>
      </c>
      <c r="M154" s="8">
        <v>51225</v>
      </c>
      <c r="N154" s="8">
        <v>868.22</v>
      </c>
      <c r="O154" s="8">
        <v>50357</v>
      </c>
      <c r="P154" s="9" t="s">
        <v>41</v>
      </c>
      <c r="Q154" s="20" t="s">
        <v>31</v>
      </c>
      <c r="T154" s="8">
        <f t="shared" si="2"/>
        <v>51225.22</v>
      </c>
    </row>
    <row r="155" spans="2:20" x14ac:dyDescent="0.35">
      <c r="B155" s="15">
        <v>158</v>
      </c>
      <c r="C155" s="16" t="s">
        <v>344</v>
      </c>
      <c r="D155" s="17">
        <v>4781</v>
      </c>
      <c r="E155" s="35">
        <v>45816</v>
      </c>
      <c r="F155" s="23">
        <v>45809</v>
      </c>
      <c r="G155" s="11" t="s">
        <v>859</v>
      </c>
      <c r="H155" s="11" t="s">
        <v>345</v>
      </c>
      <c r="I155" s="17" t="s">
        <v>346</v>
      </c>
      <c r="J155" s="18" t="s">
        <v>266</v>
      </c>
      <c r="K155" s="19">
        <v>22800</v>
      </c>
      <c r="L155" s="8">
        <v>4104</v>
      </c>
      <c r="M155" s="8">
        <v>26904</v>
      </c>
      <c r="N155" s="8"/>
      <c r="O155" s="8">
        <v>26904</v>
      </c>
      <c r="P155" s="9" t="s">
        <v>26</v>
      </c>
      <c r="Q155" s="12" t="s">
        <v>241</v>
      </c>
      <c r="T155" s="8">
        <f t="shared" si="2"/>
        <v>26904</v>
      </c>
    </row>
    <row r="156" spans="2:20" x14ac:dyDescent="0.35">
      <c r="B156" s="15">
        <v>159</v>
      </c>
      <c r="C156" s="16" t="s">
        <v>347</v>
      </c>
      <c r="D156" s="17">
        <v>494</v>
      </c>
      <c r="E156" s="35">
        <v>45816</v>
      </c>
      <c r="F156" s="22">
        <v>45778</v>
      </c>
      <c r="G156" s="11" t="s">
        <v>859</v>
      </c>
      <c r="H156" s="11" t="s">
        <v>348</v>
      </c>
      <c r="I156" s="17" t="s">
        <v>54</v>
      </c>
      <c r="J156" s="18" t="s">
        <v>55</v>
      </c>
      <c r="K156" s="19">
        <v>30324</v>
      </c>
      <c r="L156" s="8">
        <v>3639</v>
      </c>
      <c r="M156" s="8">
        <v>33963</v>
      </c>
      <c r="N156" s="8"/>
      <c r="O156" s="8">
        <v>33963</v>
      </c>
      <c r="P156" s="9" t="s">
        <v>41</v>
      </c>
      <c r="Q156" s="20" t="s">
        <v>27</v>
      </c>
      <c r="T156" s="8">
        <f t="shared" si="2"/>
        <v>33963</v>
      </c>
    </row>
    <row r="157" spans="2:20" x14ac:dyDescent="0.35">
      <c r="B157" s="15">
        <v>160</v>
      </c>
      <c r="C157" s="16"/>
      <c r="D157" s="17"/>
      <c r="E157" s="35">
        <v>45816</v>
      </c>
      <c r="F157" s="23">
        <v>45809</v>
      </c>
      <c r="G157" s="11" t="s">
        <v>859</v>
      </c>
      <c r="H157" s="11" t="s">
        <v>349</v>
      </c>
      <c r="I157" s="17" t="s">
        <v>350</v>
      </c>
      <c r="J157" s="18" t="s">
        <v>92</v>
      </c>
      <c r="K157" s="19">
        <v>32300</v>
      </c>
      <c r="L157" s="8">
        <v>5814</v>
      </c>
      <c r="M157" s="8">
        <v>38114</v>
      </c>
      <c r="N157" s="8"/>
      <c r="O157" s="8">
        <v>19057</v>
      </c>
      <c r="P157" s="9" t="s">
        <v>26</v>
      </c>
      <c r="Q157" s="20" t="s">
        <v>93</v>
      </c>
      <c r="T157" s="8">
        <f t="shared" si="2"/>
        <v>19057</v>
      </c>
    </row>
    <row r="158" spans="2:20" x14ac:dyDescent="0.35">
      <c r="B158" s="15">
        <v>161</v>
      </c>
      <c r="C158" s="16">
        <v>45663</v>
      </c>
      <c r="D158" s="17" t="s">
        <v>351</v>
      </c>
      <c r="E158" s="35">
        <v>45820</v>
      </c>
      <c r="F158" s="22">
        <v>45778</v>
      </c>
      <c r="G158" s="11" t="s">
        <v>859</v>
      </c>
      <c r="H158" s="11" t="s">
        <v>352</v>
      </c>
      <c r="I158" s="17" t="s">
        <v>353</v>
      </c>
      <c r="J158" s="18" t="s">
        <v>40</v>
      </c>
      <c r="K158" s="19">
        <v>8980</v>
      </c>
      <c r="L158" s="8">
        <v>1616</v>
      </c>
      <c r="M158" s="8">
        <v>10596</v>
      </c>
      <c r="N158" s="8">
        <v>180</v>
      </c>
      <c r="O158" s="8">
        <v>10417</v>
      </c>
      <c r="P158" s="9" t="s">
        <v>41</v>
      </c>
      <c r="Q158" s="20" t="s">
        <v>27</v>
      </c>
      <c r="T158" s="8">
        <f t="shared" si="2"/>
        <v>10597</v>
      </c>
    </row>
    <row r="159" spans="2:20" x14ac:dyDescent="0.35">
      <c r="B159" s="15">
        <v>162</v>
      </c>
      <c r="C159" s="16">
        <v>45694</v>
      </c>
      <c r="D159" s="17">
        <v>2697</v>
      </c>
      <c r="E159" s="35">
        <v>45820</v>
      </c>
      <c r="F159" s="22">
        <v>45778</v>
      </c>
      <c r="G159" s="11" t="s">
        <v>859</v>
      </c>
      <c r="H159" s="7" t="s">
        <v>83</v>
      </c>
      <c r="I159" s="17" t="s">
        <v>214</v>
      </c>
      <c r="J159" s="10" t="s">
        <v>85</v>
      </c>
      <c r="K159" s="21">
        <v>352880</v>
      </c>
      <c r="L159" s="8">
        <v>63518</v>
      </c>
      <c r="M159" s="8">
        <v>416398</v>
      </c>
      <c r="N159" s="8">
        <v>7058</v>
      </c>
      <c r="O159" s="8">
        <v>409341</v>
      </c>
      <c r="P159" s="9" t="s">
        <v>41</v>
      </c>
      <c r="Q159" s="12" t="s">
        <v>27</v>
      </c>
      <c r="T159" s="8">
        <f t="shared" si="2"/>
        <v>416399</v>
      </c>
    </row>
    <row r="160" spans="2:20" x14ac:dyDescent="0.35">
      <c r="B160" s="15">
        <v>163</v>
      </c>
      <c r="C160" s="16">
        <v>45906</v>
      </c>
      <c r="D160" s="17">
        <v>429</v>
      </c>
      <c r="E160" s="35">
        <v>45824</v>
      </c>
      <c r="F160" s="23">
        <v>45809</v>
      </c>
      <c r="G160" s="11" t="s">
        <v>859</v>
      </c>
      <c r="H160" s="11" t="s">
        <v>354</v>
      </c>
      <c r="I160" s="17" t="s">
        <v>142</v>
      </c>
      <c r="J160" s="18" t="s">
        <v>266</v>
      </c>
      <c r="K160" s="19">
        <v>7445</v>
      </c>
      <c r="L160" s="8">
        <v>1295</v>
      </c>
      <c r="M160" s="8">
        <v>8740</v>
      </c>
      <c r="N160" s="8"/>
      <c r="O160" s="8">
        <v>8740</v>
      </c>
      <c r="P160" s="9" t="s">
        <v>26</v>
      </c>
      <c r="Q160" s="20" t="s">
        <v>67</v>
      </c>
      <c r="T160" s="8">
        <f t="shared" si="2"/>
        <v>8740</v>
      </c>
    </row>
    <row r="161" spans="2:20" x14ac:dyDescent="0.35">
      <c r="B161" s="15">
        <v>164</v>
      </c>
      <c r="C161" s="16">
        <v>45663</v>
      </c>
      <c r="D161" s="17" t="s">
        <v>355</v>
      </c>
      <c r="E161" s="35">
        <v>45824</v>
      </c>
      <c r="F161" s="22">
        <v>45778</v>
      </c>
      <c r="G161" s="11" t="s">
        <v>859</v>
      </c>
      <c r="H161" s="7" t="s">
        <v>64</v>
      </c>
      <c r="I161" s="17" t="s">
        <v>356</v>
      </c>
      <c r="J161" s="10" t="s">
        <v>66</v>
      </c>
      <c r="K161" s="21">
        <v>105000</v>
      </c>
      <c r="L161" s="8">
        <v>18900</v>
      </c>
      <c r="M161" s="8">
        <v>123900</v>
      </c>
      <c r="N161" s="8">
        <v>1050</v>
      </c>
      <c r="O161" s="8">
        <v>122850</v>
      </c>
      <c r="P161" s="9" t="s">
        <v>41</v>
      </c>
      <c r="Q161" s="20" t="s">
        <v>67</v>
      </c>
      <c r="T161" s="8">
        <f t="shared" si="2"/>
        <v>123900</v>
      </c>
    </row>
    <row r="162" spans="2:20" x14ac:dyDescent="0.35">
      <c r="B162" s="15">
        <v>165</v>
      </c>
      <c r="C162" s="16">
        <v>45783</v>
      </c>
      <c r="D162" s="17" t="s">
        <v>22</v>
      </c>
      <c r="E162" s="35">
        <v>45824</v>
      </c>
      <c r="F162" s="23">
        <v>45809</v>
      </c>
      <c r="G162" s="11" t="s">
        <v>859</v>
      </c>
      <c r="H162" s="7" t="s">
        <v>23</v>
      </c>
      <c r="I162" s="17" t="s">
        <v>357</v>
      </c>
      <c r="J162" s="18" t="s">
        <v>46</v>
      </c>
      <c r="K162" s="19">
        <v>15500</v>
      </c>
      <c r="L162" s="8">
        <v>2430</v>
      </c>
      <c r="M162" s="8">
        <v>17930</v>
      </c>
      <c r="N162" s="8"/>
      <c r="O162" s="8">
        <v>6750</v>
      </c>
      <c r="P162" s="9" t="s">
        <v>26</v>
      </c>
      <c r="Q162" s="20" t="s">
        <v>47</v>
      </c>
      <c r="T162" s="8">
        <f t="shared" si="2"/>
        <v>6750</v>
      </c>
    </row>
    <row r="163" spans="2:20" x14ac:dyDescent="0.35">
      <c r="B163" s="15">
        <v>166</v>
      </c>
      <c r="C163" s="16">
        <v>45906</v>
      </c>
      <c r="D163" s="17">
        <v>2003</v>
      </c>
      <c r="E163" s="35">
        <v>45820</v>
      </c>
      <c r="F163" s="23">
        <v>45809</v>
      </c>
      <c r="G163" s="11" t="s">
        <v>859</v>
      </c>
      <c r="H163" s="7" t="s">
        <v>23</v>
      </c>
      <c r="I163" s="17" t="s">
        <v>358</v>
      </c>
      <c r="J163" s="18" t="s">
        <v>92</v>
      </c>
      <c r="K163" s="19">
        <v>12500</v>
      </c>
      <c r="L163" s="8"/>
      <c r="M163" s="8"/>
      <c r="N163" s="8"/>
      <c r="O163" s="8">
        <v>14678</v>
      </c>
      <c r="P163" s="9" t="s">
        <v>26</v>
      </c>
      <c r="Q163" s="20" t="s">
        <v>47</v>
      </c>
      <c r="T163" s="8">
        <f t="shared" si="2"/>
        <v>14678</v>
      </c>
    </row>
    <row r="164" spans="2:20" x14ac:dyDescent="0.35">
      <c r="B164" s="15">
        <v>167</v>
      </c>
      <c r="C164" s="16">
        <v>45936</v>
      </c>
      <c r="D164" s="17">
        <v>2</v>
      </c>
      <c r="E164" s="35">
        <v>45824</v>
      </c>
      <c r="F164" s="23">
        <v>45809</v>
      </c>
      <c r="G164" s="11" t="s">
        <v>859</v>
      </c>
      <c r="H164" s="11" t="s">
        <v>28</v>
      </c>
      <c r="I164" s="17" t="s">
        <v>359</v>
      </c>
      <c r="J164" s="18" t="s">
        <v>30</v>
      </c>
      <c r="K164" s="21">
        <v>419615</v>
      </c>
      <c r="L164" s="8">
        <v>75531</v>
      </c>
      <c r="M164" s="8">
        <v>495146</v>
      </c>
      <c r="N164" s="8"/>
      <c r="O164" s="8">
        <v>247573</v>
      </c>
      <c r="P164" s="18" t="s">
        <v>19</v>
      </c>
      <c r="Q164" s="20" t="s">
        <v>31</v>
      </c>
      <c r="T164" s="8">
        <f t="shared" si="2"/>
        <v>247573</v>
      </c>
    </row>
    <row r="165" spans="2:20" x14ac:dyDescent="0.35">
      <c r="B165" s="15">
        <v>168</v>
      </c>
      <c r="C165" s="16">
        <v>45936</v>
      </c>
      <c r="D165" s="17" t="s">
        <v>22</v>
      </c>
      <c r="E165" s="35">
        <v>45824</v>
      </c>
      <c r="F165" s="23">
        <v>45809</v>
      </c>
      <c r="G165" s="11" t="s">
        <v>859</v>
      </c>
      <c r="H165" s="11" t="s">
        <v>28</v>
      </c>
      <c r="I165" s="17" t="s">
        <v>360</v>
      </c>
      <c r="J165" s="18" t="s">
        <v>361</v>
      </c>
      <c r="K165" s="19">
        <v>48882</v>
      </c>
      <c r="L165" s="8">
        <v>8799</v>
      </c>
      <c r="M165" s="8">
        <v>57681</v>
      </c>
      <c r="N165" s="8">
        <v>489</v>
      </c>
      <c r="O165" s="8">
        <v>23952</v>
      </c>
      <c r="P165" s="18" t="s">
        <v>19</v>
      </c>
      <c r="Q165" s="20" t="s">
        <v>31</v>
      </c>
      <c r="T165" s="8">
        <f t="shared" si="2"/>
        <v>24441</v>
      </c>
    </row>
    <row r="166" spans="2:20" x14ac:dyDescent="0.35">
      <c r="B166" s="15">
        <v>169</v>
      </c>
      <c r="C166" s="16">
        <v>45967</v>
      </c>
      <c r="D166" s="17">
        <v>10</v>
      </c>
      <c r="E166" s="35">
        <v>45820</v>
      </c>
      <c r="F166" s="22">
        <v>45778</v>
      </c>
      <c r="G166" s="11" t="s">
        <v>859</v>
      </c>
      <c r="H166" s="7" t="s">
        <v>152</v>
      </c>
      <c r="I166" s="17" t="s">
        <v>362</v>
      </c>
      <c r="J166" s="18" t="s">
        <v>154</v>
      </c>
      <c r="K166" s="21">
        <v>443622</v>
      </c>
      <c r="L166" s="8">
        <v>79852</v>
      </c>
      <c r="M166" s="8">
        <v>523474</v>
      </c>
      <c r="N166" s="8">
        <v>4436</v>
      </c>
      <c r="O166" s="8">
        <v>519038</v>
      </c>
      <c r="P166" s="9" t="s">
        <v>41</v>
      </c>
      <c r="Q166" s="20" t="s">
        <v>155</v>
      </c>
      <c r="T166" s="8">
        <f t="shared" si="2"/>
        <v>523474</v>
      </c>
    </row>
    <row r="167" spans="2:20" x14ac:dyDescent="0.35">
      <c r="B167" s="15">
        <v>170</v>
      </c>
      <c r="C167" s="16">
        <v>45753</v>
      </c>
      <c r="D167" s="17">
        <v>13731</v>
      </c>
      <c r="E167" s="35">
        <v>45820</v>
      </c>
      <c r="F167" s="23">
        <v>45809</v>
      </c>
      <c r="G167" s="11" t="s">
        <v>859</v>
      </c>
      <c r="H167" s="11" t="s">
        <v>179</v>
      </c>
      <c r="I167" s="17" t="s">
        <v>363</v>
      </c>
      <c r="J167" s="18" t="s">
        <v>364</v>
      </c>
      <c r="K167" s="19">
        <v>9030</v>
      </c>
      <c r="L167" s="8">
        <v>1625</v>
      </c>
      <c r="M167" s="8">
        <v>10655</v>
      </c>
      <c r="N167" s="8"/>
      <c r="O167" s="8">
        <v>10655</v>
      </c>
      <c r="P167" s="9" t="s">
        <v>26</v>
      </c>
      <c r="Q167" s="20" t="s">
        <v>20</v>
      </c>
      <c r="T167" s="8">
        <f t="shared" si="2"/>
        <v>10655</v>
      </c>
    </row>
    <row r="168" spans="2:20" x14ac:dyDescent="0.35">
      <c r="B168" s="15">
        <v>171</v>
      </c>
      <c r="C168" s="16">
        <v>45694</v>
      </c>
      <c r="D168" s="17" t="s">
        <v>365</v>
      </c>
      <c r="E168" s="35">
        <v>45820</v>
      </c>
      <c r="F168" s="23">
        <v>45809</v>
      </c>
      <c r="G168" s="11" t="s">
        <v>859</v>
      </c>
      <c r="H168" s="11" t="s">
        <v>108</v>
      </c>
      <c r="I168" s="17" t="s">
        <v>109</v>
      </c>
      <c r="J168" s="18" t="s">
        <v>110</v>
      </c>
      <c r="K168" s="19">
        <v>89888</v>
      </c>
      <c r="L168" s="8">
        <v>16180</v>
      </c>
      <c r="M168" s="8">
        <v>106068</v>
      </c>
      <c r="N168" s="8">
        <v>8988.7999999999993</v>
      </c>
      <c r="O168" s="8">
        <v>97079</v>
      </c>
      <c r="P168" s="9" t="s">
        <v>41</v>
      </c>
      <c r="Q168" s="20" t="s">
        <v>858</v>
      </c>
      <c r="T168" s="8">
        <f t="shared" si="2"/>
        <v>106067.8</v>
      </c>
    </row>
    <row r="169" spans="2:20" x14ac:dyDescent="0.35">
      <c r="B169" s="15">
        <v>172</v>
      </c>
      <c r="C169" s="16" t="s">
        <v>171</v>
      </c>
      <c r="D169" s="17" t="s">
        <v>22</v>
      </c>
      <c r="E169" s="35">
        <v>45820</v>
      </c>
      <c r="F169" s="23">
        <v>45809</v>
      </c>
      <c r="G169" s="11" t="s">
        <v>859</v>
      </c>
      <c r="H169" s="11" t="s">
        <v>366</v>
      </c>
      <c r="I169" s="17" t="s">
        <v>367</v>
      </c>
      <c r="J169" s="18" t="s">
        <v>92</v>
      </c>
      <c r="K169" s="21">
        <v>143000</v>
      </c>
      <c r="L169" s="8">
        <v>25740</v>
      </c>
      <c r="M169" s="8">
        <v>168740</v>
      </c>
      <c r="N169" s="8"/>
      <c r="O169" s="8">
        <v>100100</v>
      </c>
      <c r="P169" s="9" t="s">
        <v>26</v>
      </c>
      <c r="Q169" s="20" t="s">
        <v>93</v>
      </c>
      <c r="T169" s="8">
        <f t="shared" si="2"/>
        <v>100100</v>
      </c>
    </row>
    <row r="170" spans="2:20" x14ac:dyDescent="0.35">
      <c r="B170" s="15">
        <v>173</v>
      </c>
      <c r="C170" s="16"/>
      <c r="D170" s="17"/>
      <c r="E170" s="35">
        <v>45821</v>
      </c>
      <c r="F170" s="22">
        <v>45778</v>
      </c>
      <c r="G170" s="11" t="s">
        <v>859</v>
      </c>
      <c r="H170" s="7" t="s">
        <v>145</v>
      </c>
      <c r="I170" s="17" t="s">
        <v>368</v>
      </c>
      <c r="J170" s="10" t="s">
        <v>147</v>
      </c>
      <c r="K170" s="21">
        <v>714935</v>
      </c>
      <c r="L170" s="8"/>
      <c r="M170" s="8">
        <v>714935</v>
      </c>
      <c r="N170" s="8"/>
      <c r="O170" s="8">
        <v>714935</v>
      </c>
      <c r="P170" s="9" t="s">
        <v>41</v>
      </c>
      <c r="Q170" s="12" t="s">
        <v>93</v>
      </c>
      <c r="T170" s="8">
        <f t="shared" si="2"/>
        <v>714935</v>
      </c>
    </row>
    <row r="171" spans="2:20" x14ac:dyDescent="0.35">
      <c r="B171" s="15">
        <v>174</v>
      </c>
      <c r="C171" s="16"/>
      <c r="D171" s="17"/>
      <c r="E171" s="35">
        <v>45853</v>
      </c>
      <c r="F171" s="22">
        <v>45809</v>
      </c>
      <c r="G171" s="11" t="s">
        <v>859</v>
      </c>
      <c r="H171" s="7" t="s">
        <v>145</v>
      </c>
      <c r="I171" s="17" t="s">
        <v>369</v>
      </c>
      <c r="J171" s="10" t="s">
        <v>147</v>
      </c>
      <c r="K171" s="21">
        <v>786666</v>
      </c>
      <c r="L171" s="8"/>
      <c r="M171" s="8">
        <v>786666</v>
      </c>
      <c r="N171" s="8"/>
      <c r="O171" s="8">
        <v>786666</v>
      </c>
      <c r="P171" s="9" t="s">
        <v>41</v>
      </c>
      <c r="Q171" s="12" t="s">
        <v>93</v>
      </c>
      <c r="T171" s="8">
        <f t="shared" si="2"/>
        <v>786666</v>
      </c>
    </row>
    <row r="172" spans="2:20" x14ac:dyDescent="0.35">
      <c r="B172" s="15">
        <v>175</v>
      </c>
      <c r="C172" s="16" t="s">
        <v>300</v>
      </c>
      <c r="D172" s="17" t="s">
        <v>370</v>
      </c>
      <c r="E172" s="35">
        <v>45826</v>
      </c>
      <c r="F172" s="23">
        <v>45809</v>
      </c>
      <c r="G172" s="11" t="s">
        <v>859</v>
      </c>
      <c r="H172" s="11" t="s">
        <v>371</v>
      </c>
      <c r="I172" s="17" t="s">
        <v>372</v>
      </c>
      <c r="J172" s="18" t="s">
        <v>373</v>
      </c>
      <c r="K172" s="21">
        <v>304160</v>
      </c>
      <c r="L172" s="8">
        <v>54749</v>
      </c>
      <c r="M172" s="8">
        <v>358909</v>
      </c>
      <c r="N172" s="8">
        <v>3042</v>
      </c>
      <c r="O172" s="8">
        <v>193086</v>
      </c>
      <c r="P172" s="9" t="s">
        <v>26</v>
      </c>
      <c r="Q172" s="20" t="s">
        <v>93</v>
      </c>
      <c r="T172" s="8">
        <f t="shared" si="2"/>
        <v>196128</v>
      </c>
    </row>
    <row r="173" spans="2:20" x14ac:dyDescent="0.35">
      <c r="B173" s="15">
        <v>176</v>
      </c>
      <c r="C173" s="16" t="s">
        <v>251</v>
      </c>
      <c r="D173" s="17" t="s">
        <v>22</v>
      </c>
      <c r="E173" s="35">
        <v>45826</v>
      </c>
      <c r="F173" s="23">
        <v>45809</v>
      </c>
      <c r="G173" s="11" t="s">
        <v>859</v>
      </c>
      <c r="H173" s="11" t="s">
        <v>307</v>
      </c>
      <c r="I173" s="17" t="s">
        <v>374</v>
      </c>
      <c r="J173" s="18" t="s">
        <v>309</v>
      </c>
      <c r="K173" s="21">
        <v>385000</v>
      </c>
      <c r="L173" s="8"/>
      <c r="M173" s="8">
        <v>385000</v>
      </c>
      <c r="N173" s="8"/>
      <c r="O173" s="8">
        <v>96250</v>
      </c>
      <c r="P173" s="9" t="s">
        <v>26</v>
      </c>
      <c r="Q173" s="12" t="s">
        <v>241</v>
      </c>
      <c r="T173" s="8">
        <f t="shared" si="2"/>
        <v>96250</v>
      </c>
    </row>
    <row r="174" spans="2:20" x14ac:dyDescent="0.35">
      <c r="B174" s="15">
        <v>177</v>
      </c>
      <c r="C174" s="16" t="s">
        <v>151</v>
      </c>
      <c r="D174" s="17">
        <v>2532</v>
      </c>
      <c r="E174" s="35">
        <v>45826</v>
      </c>
      <c r="F174" s="23">
        <v>45809</v>
      </c>
      <c r="G174" s="11" t="s">
        <v>859</v>
      </c>
      <c r="H174" s="7" t="s">
        <v>83</v>
      </c>
      <c r="I174" s="17" t="s">
        <v>375</v>
      </c>
      <c r="J174" s="10" t="s">
        <v>85</v>
      </c>
      <c r="K174" s="19">
        <v>49720</v>
      </c>
      <c r="L174" s="8">
        <v>8950</v>
      </c>
      <c r="M174" s="8">
        <v>58670</v>
      </c>
      <c r="N174" s="8">
        <v>994</v>
      </c>
      <c r="O174" s="8">
        <v>35075</v>
      </c>
      <c r="P174" s="9" t="s">
        <v>41</v>
      </c>
      <c r="Q174" s="12" t="s">
        <v>27</v>
      </c>
      <c r="T174" s="8">
        <f t="shared" si="2"/>
        <v>36069</v>
      </c>
    </row>
    <row r="175" spans="2:20" x14ac:dyDescent="0.35">
      <c r="B175" s="15">
        <v>178</v>
      </c>
      <c r="C175" s="16" t="s">
        <v>376</v>
      </c>
      <c r="D175" s="17">
        <v>19963</v>
      </c>
      <c r="E175" s="35">
        <v>45826</v>
      </c>
      <c r="F175" s="23">
        <v>45809</v>
      </c>
      <c r="G175" s="11" t="s">
        <v>859</v>
      </c>
      <c r="H175" s="11" t="s">
        <v>377</v>
      </c>
      <c r="I175" s="17" t="s">
        <v>378</v>
      </c>
      <c r="J175" s="18" t="s">
        <v>89</v>
      </c>
      <c r="K175" s="19">
        <v>13150</v>
      </c>
      <c r="L175" s="8">
        <v>2367</v>
      </c>
      <c r="M175" s="8">
        <v>15517</v>
      </c>
      <c r="N175" s="8"/>
      <c r="O175" s="8">
        <v>15517</v>
      </c>
      <c r="P175" s="9" t="s">
        <v>41</v>
      </c>
      <c r="Q175" s="12" t="s">
        <v>67</v>
      </c>
      <c r="T175" s="8">
        <f t="shared" si="2"/>
        <v>15517</v>
      </c>
    </row>
    <row r="176" spans="2:20" x14ac:dyDescent="0.35">
      <c r="B176" s="15">
        <v>179</v>
      </c>
      <c r="C176" s="16" t="s">
        <v>379</v>
      </c>
      <c r="D176" s="17">
        <v>2242</v>
      </c>
      <c r="E176" s="35">
        <v>45831</v>
      </c>
      <c r="F176" s="23">
        <v>45809</v>
      </c>
      <c r="G176" s="11" t="s">
        <v>859</v>
      </c>
      <c r="H176" s="7" t="s">
        <v>380</v>
      </c>
      <c r="I176" s="7" t="s">
        <v>381</v>
      </c>
      <c r="J176" s="10" t="s">
        <v>382</v>
      </c>
      <c r="K176" s="19">
        <v>91770</v>
      </c>
      <c r="L176" s="8"/>
      <c r="M176" s="8">
        <v>91770</v>
      </c>
      <c r="N176" s="8"/>
      <c r="O176" s="8">
        <v>91770</v>
      </c>
      <c r="P176" s="9" t="s">
        <v>41</v>
      </c>
      <c r="Q176" s="12" t="s">
        <v>93</v>
      </c>
      <c r="T176" s="8">
        <f t="shared" si="2"/>
        <v>91770</v>
      </c>
    </row>
    <row r="177" spans="2:20" x14ac:dyDescent="0.35">
      <c r="B177" s="15">
        <v>180</v>
      </c>
      <c r="C177" s="16" t="s">
        <v>379</v>
      </c>
      <c r="D177" s="17">
        <v>2047</v>
      </c>
      <c r="E177" s="35">
        <v>45831</v>
      </c>
      <c r="F177" s="23">
        <v>45809</v>
      </c>
      <c r="G177" s="11" t="s">
        <v>859</v>
      </c>
      <c r="H177" s="7" t="s">
        <v>23</v>
      </c>
      <c r="I177" s="17" t="s">
        <v>383</v>
      </c>
      <c r="J177" s="18" t="s">
        <v>46</v>
      </c>
      <c r="K177" s="19">
        <v>37897</v>
      </c>
      <c r="L177" s="8">
        <v>6713</v>
      </c>
      <c r="M177" s="8">
        <v>45210</v>
      </c>
      <c r="N177" s="8"/>
      <c r="O177" s="8">
        <v>45210</v>
      </c>
      <c r="P177" s="9" t="s">
        <v>26</v>
      </c>
      <c r="Q177" s="20" t="s">
        <v>47</v>
      </c>
      <c r="T177" s="8">
        <f t="shared" si="2"/>
        <v>45210</v>
      </c>
    </row>
    <row r="178" spans="2:20" x14ac:dyDescent="0.35">
      <c r="B178" s="15">
        <v>181</v>
      </c>
      <c r="C178" s="16">
        <v>45997</v>
      </c>
      <c r="D178" s="17">
        <v>35</v>
      </c>
      <c r="E178" s="35">
        <v>45831</v>
      </c>
      <c r="F178" s="23">
        <v>45809</v>
      </c>
      <c r="G178" s="11" t="s">
        <v>859</v>
      </c>
      <c r="H178" s="11" t="s">
        <v>384</v>
      </c>
      <c r="I178" s="17" t="s">
        <v>385</v>
      </c>
      <c r="J178" s="18" t="s">
        <v>386</v>
      </c>
      <c r="K178" s="21">
        <v>166430</v>
      </c>
      <c r="L178" s="8">
        <v>29957</v>
      </c>
      <c r="M178" s="8">
        <v>196387</v>
      </c>
      <c r="N178" s="8"/>
      <c r="O178" s="8">
        <v>83215</v>
      </c>
      <c r="P178" s="9" t="s">
        <v>26</v>
      </c>
      <c r="Q178" s="20" t="s">
        <v>47</v>
      </c>
      <c r="T178" s="8">
        <f t="shared" si="2"/>
        <v>83215</v>
      </c>
    </row>
    <row r="179" spans="2:20" x14ac:dyDescent="0.35">
      <c r="B179" s="15">
        <v>182</v>
      </c>
      <c r="C179" s="16">
        <v>45997</v>
      </c>
      <c r="D179" s="17" t="s">
        <v>387</v>
      </c>
      <c r="E179" s="35">
        <v>45831</v>
      </c>
      <c r="F179" s="23">
        <v>45809</v>
      </c>
      <c r="G179" s="11" t="s">
        <v>859</v>
      </c>
      <c r="H179" s="11" t="s">
        <v>388</v>
      </c>
      <c r="I179" s="17" t="s">
        <v>389</v>
      </c>
      <c r="J179" s="18" t="s">
        <v>390</v>
      </c>
      <c r="K179" s="19">
        <v>10325</v>
      </c>
      <c r="L179" s="8">
        <v>1859</v>
      </c>
      <c r="M179" s="8">
        <v>12184</v>
      </c>
      <c r="N179" s="8"/>
      <c r="O179" s="8">
        <v>12184</v>
      </c>
      <c r="P179" s="9" t="s">
        <v>26</v>
      </c>
      <c r="Q179" s="20" t="s">
        <v>27</v>
      </c>
      <c r="T179" s="8">
        <f t="shared" si="2"/>
        <v>12184</v>
      </c>
    </row>
    <row r="180" spans="2:20" x14ac:dyDescent="0.35">
      <c r="B180" s="15">
        <v>183</v>
      </c>
      <c r="C180" s="16">
        <v>45840</v>
      </c>
      <c r="D180" s="17"/>
      <c r="E180" s="35">
        <v>45840</v>
      </c>
      <c r="F180" s="23">
        <v>45839</v>
      </c>
      <c r="G180" s="11" t="s">
        <v>859</v>
      </c>
      <c r="H180" s="7" t="s">
        <v>143</v>
      </c>
      <c r="I180" s="17" t="s">
        <v>144</v>
      </c>
      <c r="J180" s="18" t="s">
        <v>144</v>
      </c>
      <c r="K180" s="19">
        <v>10</v>
      </c>
      <c r="L180" s="8">
        <v>2</v>
      </c>
      <c r="M180" s="8">
        <v>12</v>
      </c>
      <c r="N180" s="8"/>
      <c r="O180" s="8">
        <v>12</v>
      </c>
      <c r="P180" s="9" t="s">
        <v>41</v>
      </c>
      <c r="Q180" s="20" t="s">
        <v>858</v>
      </c>
      <c r="T180" s="8">
        <f t="shared" si="2"/>
        <v>12</v>
      </c>
    </row>
    <row r="181" spans="2:20" x14ac:dyDescent="0.35">
      <c r="B181" s="15">
        <v>184</v>
      </c>
      <c r="C181" s="16">
        <v>45997</v>
      </c>
      <c r="D181" s="17">
        <v>2014</v>
      </c>
      <c r="E181" s="35">
        <v>45840</v>
      </c>
      <c r="F181" s="23">
        <v>45839</v>
      </c>
      <c r="G181" s="11" t="s">
        <v>859</v>
      </c>
      <c r="H181" s="7" t="s">
        <v>23</v>
      </c>
      <c r="I181" s="17" t="s">
        <v>391</v>
      </c>
      <c r="J181" s="18" t="s">
        <v>46</v>
      </c>
      <c r="K181" s="19">
        <v>13500</v>
      </c>
      <c r="L181" s="8">
        <v>2430</v>
      </c>
      <c r="M181" s="8">
        <v>17930</v>
      </c>
      <c r="N181" s="8"/>
      <c r="O181" s="8">
        <v>11180</v>
      </c>
      <c r="P181" s="9" t="s">
        <v>26</v>
      </c>
      <c r="Q181" s="20" t="s">
        <v>47</v>
      </c>
      <c r="T181" s="8">
        <f t="shared" si="2"/>
        <v>11180</v>
      </c>
    </row>
    <row r="182" spans="2:20" x14ac:dyDescent="0.35">
      <c r="B182" s="15">
        <v>185</v>
      </c>
      <c r="C182" s="16">
        <v>45828</v>
      </c>
      <c r="D182" s="17" t="s">
        <v>22</v>
      </c>
      <c r="E182" s="35">
        <v>45836</v>
      </c>
      <c r="F182" s="23">
        <v>45809</v>
      </c>
      <c r="G182" s="11" t="s">
        <v>859</v>
      </c>
      <c r="H182" s="11" t="s">
        <v>392</v>
      </c>
      <c r="I182" s="17" t="s">
        <v>393</v>
      </c>
      <c r="J182" s="10" t="s">
        <v>197</v>
      </c>
      <c r="K182" s="19">
        <v>9500</v>
      </c>
      <c r="L182" s="8">
        <v>1710</v>
      </c>
      <c r="M182" s="8">
        <v>11210</v>
      </c>
      <c r="N182" s="8"/>
      <c r="O182" s="8">
        <v>4750</v>
      </c>
      <c r="P182" s="9" t="s">
        <v>26</v>
      </c>
      <c r="Q182" s="12" t="s">
        <v>241</v>
      </c>
      <c r="T182" s="8">
        <f t="shared" si="2"/>
        <v>4750</v>
      </c>
    </row>
    <row r="183" spans="2:20" x14ac:dyDescent="0.35">
      <c r="B183" s="15">
        <v>186</v>
      </c>
      <c r="C183" s="16" t="s">
        <v>379</v>
      </c>
      <c r="D183" s="17">
        <v>1430</v>
      </c>
      <c r="E183" s="35">
        <v>45840</v>
      </c>
      <c r="F183" s="23">
        <v>45839</v>
      </c>
      <c r="G183" s="11" t="s">
        <v>859</v>
      </c>
      <c r="H183" s="7" t="s">
        <v>174</v>
      </c>
      <c r="I183" s="17" t="s">
        <v>394</v>
      </c>
      <c r="J183" s="10" t="s">
        <v>176</v>
      </c>
      <c r="K183" s="19">
        <v>79000</v>
      </c>
      <c r="L183" s="8"/>
      <c r="M183" s="8">
        <v>79000</v>
      </c>
      <c r="N183" s="8"/>
      <c r="O183" s="8">
        <v>79000</v>
      </c>
      <c r="P183" s="9" t="s">
        <v>26</v>
      </c>
      <c r="Q183" s="20" t="s">
        <v>155</v>
      </c>
      <c r="T183" s="8">
        <f t="shared" si="2"/>
        <v>79000</v>
      </c>
    </row>
    <row r="184" spans="2:20" x14ac:dyDescent="0.35">
      <c r="B184" s="15">
        <v>187</v>
      </c>
      <c r="C184" s="16" t="s">
        <v>395</v>
      </c>
      <c r="D184" s="17">
        <v>1429</v>
      </c>
      <c r="E184" s="35">
        <v>45840</v>
      </c>
      <c r="F184" s="23">
        <v>45839</v>
      </c>
      <c r="G184" s="11" t="s">
        <v>859</v>
      </c>
      <c r="H184" s="7" t="s">
        <v>174</v>
      </c>
      <c r="I184" s="17" t="s">
        <v>396</v>
      </c>
      <c r="J184" s="10" t="s">
        <v>176</v>
      </c>
      <c r="K184" s="19">
        <v>40650</v>
      </c>
      <c r="L184" s="8"/>
      <c r="M184" s="8">
        <v>40650</v>
      </c>
      <c r="N184" s="8"/>
      <c r="O184" s="8">
        <v>40650</v>
      </c>
      <c r="P184" s="9" t="s">
        <v>26</v>
      </c>
      <c r="Q184" s="20" t="s">
        <v>155</v>
      </c>
      <c r="T184" s="8">
        <f t="shared" si="2"/>
        <v>40650</v>
      </c>
    </row>
    <row r="185" spans="2:20" x14ac:dyDescent="0.35">
      <c r="B185" s="15">
        <v>188</v>
      </c>
      <c r="C185" s="16"/>
      <c r="D185" s="17" t="s">
        <v>22</v>
      </c>
      <c r="E185" s="35">
        <v>45840</v>
      </c>
      <c r="F185" s="23">
        <v>45839</v>
      </c>
      <c r="G185" s="11" t="s">
        <v>859</v>
      </c>
      <c r="H185" s="7" t="s">
        <v>83</v>
      </c>
      <c r="I185" s="17" t="s">
        <v>397</v>
      </c>
      <c r="J185" s="10" t="s">
        <v>85</v>
      </c>
      <c r="K185" s="21">
        <v>134300</v>
      </c>
      <c r="L185" s="8"/>
      <c r="M185" s="8">
        <v>134300</v>
      </c>
      <c r="N185" s="8">
        <v>2686</v>
      </c>
      <c r="O185" s="8">
        <v>64464</v>
      </c>
      <c r="P185" s="9" t="s">
        <v>41</v>
      </c>
      <c r="Q185" s="12" t="s">
        <v>27</v>
      </c>
      <c r="T185" s="8">
        <f t="shared" si="2"/>
        <v>67150</v>
      </c>
    </row>
    <row r="186" spans="2:20" x14ac:dyDescent="0.35">
      <c r="B186" s="15">
        <v>189</v>
      </c>
      <c r="C186" s="16" t="s">
        <v>398</v>
      </c>
      <c r="D186" s="17">
        <v>3</v>
      </c>
      <c r="E186" s="35">
        <v>45840</v>
      </c>
      <c r="F186" s="23">
        <v>45839</v>
      </c>
      <c r="G186" s="11" t="s">
        <v>859</v>
      </c>
      <c r="H186" s="11" t="s">
        <v>28</v>
      </c>
      <c r="I186" s="17" t="s">
        <v>399</v>
      </c>
      <c r="J186" s="18" t="s">
        <v>361</v>
      </c>
      <c r="K186" s="19">
        <v>48882</v>
      </c>
      <c r="L186" s="24">
        <v>8799</v>
      </c>
      <c r="M186" s="24">
        <v>57680</v>
      </c>
      <c r="N186" s="24"/>
      <c r="O186" s="24">
        <v>33239</v>
      </c>
      <c r="P186" s="18" t="s">
        <v>19</v>
      </c>
      <c r="Q186" s="20" t="s">
        <v>31</v>
      </c>
      <c r="T186" s="8">
        <f t="shared" si="2"/>
        <v>33239</v>
      </c>
    </row>
    <row r="187" spans="2:20" x14ac:dyDescent="0.35">
      <c r="B187" s="15">
        <v>190</v>
      </c>
      <c r="C187" s="16"/>
      <c r="D187" s="17"/>
      <c r="E187" s="35">
        <v>45845</v>
      </c>
      <c r="F187" s="23">
        <v>45839</v>
      </c>
      <c r="G187" s="11" t="s">
        <v>859</v>
      </c>
      <c r="H187" s="7" t="s">
        <v>16</v>
      </c>
      <c r="I187" s="18" t="s">
        <v>400</v>
      </c>
      <c r="J187" s="9" t="s">
        <v>309</v>
      </c>
      <c r="K187" s="25">
        <v>2591442</v>
      </c>
      <c r="L187" s="24"/>
      <c r="M187" s="24">
        <v>2591442</v>
      </c>
      <c r="N187" s="24"/>
      <c r="O187" s="25">
        <v>2591442</v>
      </c>
      <c r="P187" s="9" t="s">
        <v>19</v>
      </c>
      <c r="Q187" s="26" t="s">
        <v>20</v>
      </c>
      <c r="T187" s="8">
        <f t="shared" si="2"/>
        <v>2591442</v>
      </c>
    </row>
    <row r="188" spans="2:20" x14ac:dyDescent="0.35">
      <c r="B188" s="15">
        <v>191</v>
      </c>
      <c r="C188" s="16">
        <v>45695</v>
      </c>
      <c r="D188" s="17">
        <v>2844</v>
      </c>
      <c r="E188" s="35">
        <v>45861</v>
      </c>
      <c r="F188" s="23">
        <v>45839</v>
      </c>
      <c r="G188" s="11" t="s">
        <v>859</v>
      </c>
      <c r="H188" s="7" t="s">
        <v>83</v>
      </c>
      <c r="I188" s="17" t="s">
        <v>84</v>
      </c>
      <c r="J188" s="10" t="s">
        <v>85</v>
      </c>
      <c r="K188" s="21">
        <v>352880</v>
      </c>
      <c r="L188" s="24">
        <v>63518</v>
      </c>
      <c r="M188" s="24">
        <v>416398</v>
      </c>
      <c r="N188" s="24">
        <v>7058</v>
      </c>
      <c r="O188" s="24">
        <v>409341</v>
      </c>
      <c r="P188" s="9" t="s">
        <v>41</v>
      </c>
      <c r="Q188" s="12" t="s">
        <v>27</v>
      </c>
      <c r="T188" s="8">
        <f t="shared" si="2"/>
        <v>416399</v>
      </c>
    </row>
    <row r="189" spans="2:20" x14ac:dyDescent="0.35">
      <c r="B189" s="15">
        <v>192</v>
      </c>
      <c r="C189" s="16" t="s">
        <v>401</v>
      </c>
      <c r="D189" s="17" t="s">
        <v>22</v>
      </c>
      <c r="E189" s="35">
        <v>45854</v>
      </c>
      <c r="F189" s="23">
        <v>45839</v>
      </c>
      <c r="G189" s="11" t="s">
        <v>860</v>
      </c>
      <c r="H189" s="11" t="s">
        <v>307</v>
      </c>
      <c r="I189" s="17" t="s">
        <v>402</v>
      </c>
      <c r="J189" s="27" t="s">
        <v>309</v>
      </c>
      <c r="K189" s="21">
        <v>153316</v>
      </c>
      <c r="L189" s="24"/>
      <c r="M189" s="24">
        <v>153316</v>
      </c>
      <c r="N189" s="24"/>
      <c r="O189" s="24">
        <v>153316</v>
      </c>
      <c r="P189" s="9" t="s">
        <v>26</v>
      </c>
      <c r="Q189" s="37" t="s">
        <v>20</v>
      </c>
      <c r="T189" s="8">
        <f t="shared" si="2"/>
        <v>153316</v>
      </c>
    </row>
    <row r="190" spans="2:20" x14ac:dyDescent="0.35">
      <c r="B190" s="15">
        <v>193</v>
      </c>
      <c r="C190" s="16">
        <v>45695</v>
      </c>
      <c r="D190" s="17" t="s">
        <v>403</v>
      </c>
      <c r="E190" s="35">
        <v>45860</v>
      </c>
      <c r="F190" s="23">
        <v>45839</v>
      </c>
      <c r="G190" s="11" t="s">
        <v>860</v>
      </c>
      <c r="H190" s="11" t="s">
        <v>133</v>
      </c>
      <c r="I190" s="17" t="s">
        <v>404</v>
      </c>
      <c r="J190" s="27" t="s">
        <v>92</v>
      </c>
      <c r="K190" s="21">
        <v>373260</v>
      </c>
      <c r="L190" s="24">
        <v>67187</v>
      </c>
      <c r="M190" s="24">
        <v>440447</v>
      </c>
      <c r="N190" s="24"/>
      <c r="O190" s="24">
        <v>220223.5</v>
      </c>
      <c r="P190" s="9" t="s">
        <v>26</v>
      </c>
      <c r="Q190" s="37" t="s">
        <v>93</v>
      </c>
      <c r="T190" s="8">
        <f t="shared" si="2"/>
        <v>220223.5</v>
      </c>
    </row>
    <row r="191" spans="2:20" x14ac:dyDescent="0.35">
      <c r="B191" s="15">
        <v>194</v>
      </c>
      <c r="C191" s="16">
        <v>45664</v>
      </c>
      <c r="D191" s="17" t="s">
        <v>405</v>
      </c>
      <c r="E191" s="35">
        <v>45852</v>
      </c>
      <c r="F191" s="23">
        <v>45839</v>
      </c>
      <c r="G191" s="11" t="s">
        <v>860</v>
      </c>
      <c r="H191" s="7" t="s">
        <v>406</v>
      </c>
      <c r="I191" s="17" t="s">
        <v>407</v>
      </c>
      <c r="J191" s="10" t="s">
        <v>408</v>
      </c>
      <c r="K191" s="21">
        <v>125100</v>
      </c>
      <c r="L191" s="24">
        <v>22518</v>
      </c>
      <c r="M191" s="24">
        <v>147618</v>
      </c>
      <c r="N191" s="24">
        <v>2502</v>
      </c>
      <c r="O191" s="24">
        <v>145116</v>
      </c>
      <c r="P191" s="9" t="s">
        <v>41</v>
      </c>
      <c r="Q191" s="37" t="s">
        <v>31</v>
      </c>
      <c r="T191" s="8">
        <f t="shared" si="2"/>
        <v>147618</v>
      </c>
    </row>
    <row r="192" spans="2:20" x14ac:dyDescent="0.35">
      <c r="B192" s="15">
        <v>195</v>
      </c>
      <c r="C192" s="16">
        <v>45695</v>
      </c>
      <c r="D192" s="17"/>
      <c r="E192" s="35">
        <v>45854</v>
      </c>
      <c r="F192" s="23">
        <v>45839</v>
      </c>
      <c r="G192" s="11" t="s">
        <v>860</v>
      </c>
      <c r="H192" s="7" t="s">
        <v>120</v>
      </c>
      <c r="I192" s="17" t="s">
        <v>409</v>
      </c>
      <c r="J192" s="10" t="s">
        <v>122</v>
      </c>
      <c r="K192" s="19">
        <v>7300</v>
      </c>
      <c r="L192" s="24"/>
      <c r="M192" s="24">
        <v>7300</v>
      </c>
      <c r="N192" s="24"/>
      <c r="O192" s="24">
        <v>7300</v>
      </c>
      <c r="P192" s="9" t="s">
        <v>26</v>
      </c>
      <c r="Q192" s="12" t="s">
        <v>27</v>
      </c>
      <c r="T192" s="8">
        <f t="shared" si="2"/>
        <v>7300</v>
      </c>
    </row>
    <row r="193" spans="2:20" x14ac:dyDescent="0.35">
      <c r="B193" s="15">
        <v>196</v>
      </c>
      <c r="C193" s="16">
        <v>45664</v>
      </c>
      <c r="D193" s="17" t="s">
        <v>410</v>
      </c>
      <c r="E193" s="35">
        <v>45862</v>
      </c>
      <c r="F193" s="14">
        <v>45839</v>
      </c>
      <c r="G193" s="11" t="s">
        <v>860</v>
      </c>
      <c r="H193" s="7" t="s">
        <v>411</v>
      </c>
      <c r="I193" s="17" t="s">
        <v>412</v>
      </c>
      <c r="J193" s="27" t="s">
        <v>85</v>
      </c>
      <c r="K193" s="19">
        <v>22000</v>
      </c>
      <c r="L193" s="24">
        <v>3960</v>
      </c>
      <c r="M193" s="24">
        <v>25960</v>
      </c>
      <c r="N193" s="24"/>
      <c r="O193" s="24">
        <v>25960</v>
      </c>
      <c r="P193" s="9" t="s">
        <v>26</v>
      </c>
      <c r="Q193" s="37" t="s">
        <v>27</v>
      </c>
      <c r="T193" s="8">
        <f t="shared" si="2"/>
        <v>25960</v>
      </c>
    </row>
    <row r="194" spans="2:20" x14ac:dyDescent="0.35">
      <c r="B194" s="15">
        <v>197</v>
      </c>
      <c r="C194" s="16">
        <v>45695</v>
      </c>
      <c r="D194" s="17" t="s">
        <v>413</v>
      </c>
      <c r="E194" s="35"/>
      <c r="F194" s="27"/>
      <c r="G194" s="11" t="s">
        <v>860</v>
      </c>
      <c r="H194" s="11" t="s">
        <v>108</v>
      </c>
      <c r="I194" s="17" t="s">
        <v>414</v>
      </c>
      <c r="J194" s="18" t="s">
        <v>110</v>
      </c>
      <c r="K194" s="19">
        <v>89888</v>
      </c>
      <c r="L194" s="24">
        <v>16180</v>
      </c>
      <c r="M194" s="24">
        <v>106068</v>
      </c>
      <c r="N194" s="24">
        <v>8989</v>
      </c>
      <c r="O194" s="24">
        <v>97079</v>
      </c>
      <c r="P194" s="9" t="s">
        <v>41</v>
      </c>
      <c r="Q194" s="20" t="s">
        <v>858</v>
      </c>
      <c r="T194" s="8">
        <f t="shared" si="2"/>
        <v>106068</v>
      </c>
    </row>
    <row r="195" spans="2:20" x14ac:dyDescent="0.35">
      <c r="B195" s="15">
        <v>198</v>
      </c>
      <c r="C195" s="16">
        <v>45695</v>
      </c>
      <c r="D195" s="17" t="s">
        <v>415</v>
      </c>
      <c r="E195" s="35"/>
      <c r="F195" s="27"/>
      <c r="G195" s="11" t="s">
        <v>859</v>
      </c>
      <c r="H195" s="11" t="s">
        <v>108</v>
      </c>
      <c r="I195" s="17" t="s">
        <v>416</v>
      </c>
      <c r="J195" s="18" t="s">
        <v>110</v>
      </c>
      <c r="K195" s="19">
        <v>125000</v>
      </c>
      <c r="L195" s="24">
        <v>22500</v>
      </c>
      <c r="M195" s="24">
        <v>147500</v>
      </c>
      <c r="N195" s="24">
        <v>12500</v>
      </c>
      <c r="O195" s="24">
        <v>135000</v>
      </c>
      <c r="P195" s="9" t="s">
        <v>41</v>
      </c>
      <c r="Q195" s="20" t="s">
        <v>858</v>
      </c>
      <c r="T195" s="8">
        <f t="shared" ref="T195:T258" si="3">N195+O195</f>
        <v>147500</v>
      </c>
    </row>
    <row r="196" spans="2:20" x14ac:dyDescent="0.35">
      <c r="B196" s="15">
        <v>199</v>
      </c>
      <c r="C196" s="16"/>
      <c r="D196" s="17" t="s">
        <v>417</v>
      </c>
      <c r="E196" s="35">
        <v>45866</v>
      </c>
      <c r="F196" s="23">
        <v>45839</v>
      </c>
      <c r="G196" s="11" t="s">
        <v>859</v>
      </c>
      <c r="H196" s="7" t="s">
        <v>49</v>
      </c>
      <c r="I196" s="17" t="s">
        <v>418</v>
      </c>
      <c r="J196" s="10" t="s">
        <v>51</v>
      </c>
      <c r="K196" s="19">
        <v>20000</v>
      </c>
      <c r="L196" s="24">
        <v>3600</v>
      </c>
      <c r="M196" s="24">
        <v>23600</v>
      </c>
      <c r="N196" s="24">
        <v>200</v>
      </c>
      <c r="O196" s="24">
        <v>23400</v>
      </c>
      <c r="P196" s="9" t="s">
        <v>26</v>
      </c>
      <c r="Q196" s="37" t="s">
        <v>31</v>
      </c>
      <c r="T196" s="8">
        <f t="shared" si="3"/>
        <v>23600</v>
      </c>
    </row>
    <row r="197" spans="2:20" x14ac:dyDescent="0.35">
      <c r="B197" s="15">
        <v>200</v>
      </c>
      <c r="C197" s="16" t="s">
        <v>419</v>
      </c>
      <c r="D197" s="17" t="s">
        <v>22</v>
      </c>
      <c r="E197" s="35">
        <v>45866</v>
      </c>
      <c r="F197" s="23">
        <v>45839</v>
      </c>
      <c r="G197" s="11" t="s">
        <v>860</v>
      </c>
      <c r="H197" s="7" t="s">
        <v>49</v>
      </c>
      <c r="I197" s="17" t="s">
        <v>420</v>
      </c>
      <c r="J197" s="10" t="s">
        <v>51</v>
      </c>
      <c r="K197" s="19">
        <v>33300</v>
      </c>
      <c r="L197" s="24">
        <v>5994</v>
      </c>
      <c r="M197" s="24">
        <v>39294</v>
      </c>
      <c r="N197" s="24">
        <v>333</v>
      </c>
      <c r="O197" s="24">
        <v>16317</v>
      </c>
      <c r="P197" s="9" t="s">
        <v>26</v>
      </c>
      <c r="Q197" s="37" t="s">
        <v>31</v>
      </c>
      <c r="T197" s="8">
        <f t="shared" si="3"/>
        <v>16650</v>
      </c>
    </row>
    <row r="198" spans="2:20" x14ac:dyDescent="0.35">
      <c r="B198" s="15">
        <v>201</v>
      </c>
      <c r="C198" s="16">
        <v>45664</v>
      </c>
      <c r="D198" s="17" t="s">
        <v>421</v>
      </c>
      <c r="E198" s="35">
        <v>45866</v>
      </c>
      <c r="F198" s="23">
        <v>45809</v>
      </c>
      <c r="G198" s="11" t="s">
        <v>859</v>
      </c>
      <c r="H198" s="7" t="s">
        <v>64</v>
      </c>
      <c r="I198" s="17" t="s">
        <v>422</v>
      </c>
      <c r="J198" s="10" t="s">
        <v>66</v>
      </c>
      <c r="K198" s="21">
        <v>105000</v>
      </c>
      <c r="L198" s="24">
        <v>18900</v>
      </c>
      <c r="M198" s="24">
        <v>123900</v>
      </c>
      <c r="N198" s="24">
        <v>1050</v>
      </c>
      <c r="O198" s="24">
        <v>122850</v>
      </c>
      <c r="P198" s="9" t="s">
        <v>41</v>
      </c>
      <c r="Q198" s="20" t="s">
        <v>67</v>
      </c>
      <c r="T198" s="8">
        <f t="shared" si="3"/>
        <v>123900</v>
      </c>
    </row>
    <row r="199" spans="2:20" x14ac:dyDescent="0.35">
      <c r="B199" s="15">
        <v>202</v>
      </c>
      <c r="C199" s="16" t="s">
        <v>423</v>
      </c>
      <c r="D199" s="17">
        <v>20307</v>
      </c>
      <c r="E199" s="35">
        <v>45866</v>
      </c>
      <c r="F199" s="23">
        <v>45839</v>
      </c>
      <c r="G199" s="11" t="s">
        <v>860</v>
      </c>
      <c r="H199" s="11" t="s">
        <v>424</v>
      </c>
      <c r="I199" s="17" t="s">
        <v>425</v>
      </c>
      <c r="J199" s="18" t="s">
        <v>89</v>
      </c>
      <c r="K199" s="19">
        <v>14600</v>
      </c>
      <c r="L199" s="24">
        <v>2628</v>
      </c>
      <c r="M199" s="24">
        <v>17228</v>
      </c>
      <c r="N199" s="24"/>
      <c r="O199" s="24">
        <v>17228</v>
      </c>
      <c r="P199" s="9" t="s">
        <v>41</v>
      </c>
      <c r="Q199" s="12" t="s">
        <v>67</v>
      </c>
      <c r="T199" s="8">
        <f t="shared" si="3"/>
        <v>17228</v>
      </c>
    </row>
    <row r="200" spans="2:20" x14ac:dyDescent="0.35">
      <c r="B200" s="15">
        <v>203</v>
      </c>
      <c r="C200" s="16" t="s">
        <v>419</v>
      </c>
      <c r="D200" s="17" t="s">
        <v>22</v>
      </c>
      <c r="E200" s="35">
        <v>45866</v>
      </c>
      <c r="F200" s="23">
        <v>45839</v>
      </c>
      <c r="G200" s="11" t="s">
        <v>860</v>
      </c>
      <c r="H200" s="7" t="s">
        <v>138</v>
      </c>
      <c r="I200" s="17" t="s">
        <v>426</v>
      </c>
      <c r="J200" s="13" t="s">
        <v>140</v>
      </c>
      <c r="K200" s="19">
        <v>16020</v>
      </c>
      <c r="L200" s="24"/>
      <c r="M200" s="24">
        <v>8010</v>
      </c>
      <c r="N200" s="24"/>
      <c r="O200" s="24">
        <v>8010</v>
      </c>
      <c r="P200" s="9" t="s">
        <v>26</v>
      </c>
      <c r="Q200" s="12" t="s">
        <v>27</v>
      </c>
      <c r="T200" s="8">
        <f t="shared" si="3"/>
        <v>8010</v>
      </c>
    </row>
    <row r="201" spans="2:20" x14ac:dyDescent="0.35">
      <c r="B201" s="15">
        <v>204</v>
      </c>
      <c r="C201" s="16"/>
      <c r="D201" s="17"/>
      <c r="E201" s="35">
        <v>45866</v>
      </c>
      <c r="F201" s="23">
        <v>45839</v>
      </c>
      <c r="G201" s="11" t="s">
        <v>859</v>
      </c>
      <c r="H201" s="7" t="s">
        <v>49</v>
      </c>
      <c r="I201" s="17" t="s">
        <v>427</v>
      </c>
      <c r="J201" s="10" t="s">
        <v>51</v>
      </c>
      <c r="K201" s="19">
        <v>7500</v>
      </c>
      <c r="L201" s="24">
        <v>1350</v>
      </c>
      <c r="M201" s="24">
        <v>8850</v>
      </c>
      <c r="N201" s="24">
        <v>75</v>
      </c>
      <c r="O201" s="24">
        <v>8775</v>
      </c>
      <c r="P201" s="9" t="s">
        <v>41</v>
      </c>
      <c r="Q201" s="37" t="s">
        <v>31</v>
      </c>
      <c r="T201" s="8">
        <f t="shared" si="3"/>
        <v>8850</v>
      </c>
    </row>
    <row r="202" spans="2:20" x14ac:dyDescent="0.35">
      <c r="B202" s="15">
        <v>205</v>
      </c>
      <c r="C202" s="16" t="s">
        <v>423</v>
      </c>
      <c r="D202" s="17">
        <v>2925</v>
      </c>
      <c r="E202" s="35">
        <v>45866</v>
      </c>
      <c r="F202" s="23">
        <v>45839</v>
      </c>
      <c r="G202" s="11" t="s">
        <v>860</v>
      </c>
      <c r="H202" s="7" t="s">
        <v>83</v>
      </c>
      <c r="I202" s="17" t="s">
        <v>428</v>
      </c>
      <c r="J202" s="10" t="s">
        <v>85</v>
      </c>
      <c r="K202" s="21">
        <v>134300</v>
      </c>
      <c r="L202" s="24">
        <v>24174</v>
      </c>
      <c r="M202" s="24">
        <v>158474</v>
      </c>
      <c r="N202" s="24"/>
      <c r="O202" s="24">
        <v>91324</v>
      </c>
      <c r="P202" s="9" t="s">
        <v>41</v>
      </c>
      <c r="Q202" s="12" t="s">
        <v>27</v>
      </c>
      <c r="T202" s="8">
        <f t="shared" si="3"/>
        <v>91324</v>
      </c>
    </row>
    <row r="203" spans="2:20" x14ac:dyDescent="0.35">
      <c r="B203" s="15">
        <v>206</v>
      </c>
      <c r="C203" s="16"/>
      <c r="D203" s="17"/>
      <c r="E203" s="35">
        <v>45867</v>
      </c>
      <c r="F203" s="23">
        <v>45839</v>
      </c>
      <c r="G203" s="11" t="s">
        <v>859</v>
      </c>
      <c r="H203" s="11" t="s">
        <v>352</v>
      </c>
      <c r="I203" s="17" t="s">
        <v>353</v>
      </c>
      <c r="J203" s="27" t="s">
        <v>40</v>
      </c>
      <c r="K203" s="21">
        <v>8980</v>
      </c>
      <c r="L203" s="24">
        <v>1616</v>
      </c>
      <c r="M203" s="24">
        <v>10596</v>
      </c>
      <c r="N203" s="24">
        <v>180</v>
      </c>
      <c r="O203" s="24">
        <v>10417</v>
      </c>
      <c r="P203" s="9" t="s">
        <v>41</v>
      </c>
      <c r="Q203" s="37" t="s">
        <v>27</v>
      </c>
      <c r="T203" s="8">
        <f t="shared" si="3"/>
        <v>10597</v>
      </c>
    </row>
    <row r="204" spans="2:20" x14ac:dyDescent="0.35">
      <c r="B204" s="15">
        <v>207</v>
      </c>
      <c r="C204" s="16"/>
      <c r="D204" s="17"/>
      <c r="E204" s="35">
        <v>45863</v>
      </c>
      <c r="F204" s="23">
        <v>45839</v>
      </c>
      <c r="G204" s="11" t="s">
        <v>859</v>
      </c>
      <c r="H204" s="11" t="s">
        <v>348</v>
      </c>
      <c r="I204" s="17" t="s">
        <v>54</v>
      </c>
      <c r="J204" s="27" t="s">
        <v>55</v>
      </c>
      <c r="K204" s="21">
        <v>26974.576271186441</v>
      </c>
      <c r="L204" s="24">
        <v>4855.4237288135591</v>
      </c>
      <c r="M204" s="24">
        <v>31830</v>
      </c>
      <c r="N204" s="24"/>
      <c r="O204" s="24">
        <v>31830</v>
      </c>
      <c r="P204" s="9" t="s">
        <v>41</v>
      </c>
      <c r="Q204" s="37" t="s">
        <v>27</v>
      </c>
      <c r="T204" s="8">
        <f t="shared" si="3"/>
        <v>31830</v>
      </c>
    </row>
    <row r="205" spans="2:20" x14ac:dyDescent="0.35">
      <c r="B205" s="15">
        <v>208</v>
      </c>
      <c r="C205" s="16">
        <v>45871</v>
      </c>
      <c r="D205" s="17"/>
      <c r="E205" s="35">
        <f>C205</f>
        <v>45871</v>
      </c>
      <c r="F205" s="23">
        <v>45870</v>
      </c>
      <c r="G205" s="11" t="s">
        <v>860</v>
      </c>
      <c r="H205" s="7" t="s">
        <v>305</v>
      </c>
      <c r="I205" s="17" t="s">
        <v>429</v>
      </c>
      <c r="J205" s="27" t="s">
        <v>266</v>
      </c>
      <c r="K205" s="21">
        <v>24000</v>
      </c>
      <c r="L205" s="24">
        <v>4320</v>
      </c>
      <c r="M205" s="24">
        <v>28320</v>
      </c>
      <c r="N205" s="24">
        <v>240</v>
      </c>
      <c r="O205" s="24">
        <v>28080</v>
      </c>
      <c r="P205" s="9" t="s">
        <v>26</v>
      </c>
      <c r="Q205" s="12" t="s">
        <v>241</v>
      </c>
      <c r="T205" s="8">
        <f t="shared" si="3"/>
        <v>28320</v>
      </c>
    </row>
    <row r="206" spans="2:20" x14ac:dyDescent="0.35">
      <c r="B206" s="15">
        <v>209</v>
      </c>
      <c r="C206" s="16">
        <v>45871</v>
      </c>
      <c r="D206" s="17"/>
      <c r="E206" s="35">
        <f>C206</f>
        <v>45871</v>
      </c>
      <c r="F206" s="23">
        <v>45870</v>
      </c>
      <c r="G206" s="11" t="s">
        <v>860</v>
      </c>
      <c r="H206" s="7" t="s">
        <v>23</v>
      </c>
      <c r="I206" s="17" t="s">
        <v>430</v>
      </c>
      <c r="J206" s="18" t="s">
        <v>46</v>
      </c>
      <c r="K206" s="21">
        <v>7205</v>
      </c>
      <c r="L206" s="24">
        <v>1112.4000000000001</v>
      </c>
      <c r="M206" s="24">
        <v>8317.4</v>
      </c>
      <c r="N206" s="24"/>
      <c r="O206" s="24">
        <v>8317</v>
      </c>
      <c r="P206" s="9" t="s">
        <v>26</v>
      </c>
      <c r="Q206" s="20" t="s">
        <v>47</v>
      </c>
      <c r="T206" s="8">
        <f t="shared" si="3"/>
        <v>8317</v>
      </c>
    </row>
    <row r="207" spans="2:20" x14ac:dyDescent="0.35">
      <c r="B207" s="15">
        <v>210</v>
      </c>
      <c r="C207" s="16">
        <v>45871</v>
      </c>
      <c r="D207" s="17"/>
      <c r="E207" s="35">
        <f>C207</f>
        <v>45871</v>
      </c>
      <c r="F207" s="23">
        <v>45870</v>
      </c>
      <c r="G207" s="11" t="s">
        <v>860</v>
      </c>
      <c r="H207" s="11" t="s">
        <v>431</v>
      </c>
      <c r="I207" s="17" t="s">
        <v>432</v>
      </c>
      <c r="J207" s="27" t="s">
        <v>47</v>
      </c>
      <c r="K207" s="21">
        <v>16000</v>
      </c>
      <c r="L207" s="24">
        <v>2880</v>
      </c>
      <c r="M207" s="24">
        <v>18880</v>
      </c>
      <c r="N207" s="24">
        <v>320</v>
      </c>
      <c r="O207" s="24">
        <v>18560</v>
      </c>
      <c r="P207" s="9" t="s">
        <v>26</v>
      </c>
      <c r="Q207" s="12" t="s">
        <v>241</v>
      </c>
      <c r="T207" s="8">
        <f t="shared" si="3"/>
        <v>18880</v>
      </c>
    </row>
    <row r="208" spans="2:20" x14ac:dyDescent="0.35">
      <c r="B208" s="15">
        <v>211</v>
      </c>
      <c r="C208" s="16">
        <v>45871</v>
      </c>
      <c r="D208" s="17"/>
      <c r="E208" s="35">
        <f>C208</f>
        <v>45871</v>
      </c>
      <c r="F208" s="23">
        <v>45870</v>
      </c>
      <c r="G208" s="11" t="s">
        <v>860</v>
      </c>
      <c r="H208" s="7" t="s">
        <v>380</v>
      </c>
      <c r="I208" s="7" t="s">
        <v>381</v>
      </c>
      <c r="J208" s="10" t="s">
        <v>382</v>
      </c>
      <c r="K208" s="21">
        <v>181980</v>
      </c>
      <c r="L208" s="24"/>
      <c r="M208" s="24">
        <v>182680</v>
      </c>
      <c r="N208" s="24"/>
      <c r="O208" s="24">
        <v>182680</v>
      </c>
      <c r="P208" s="9" t="s">
        <v>41</v>
      </c>
      <c r="Q208" s="12" t="s">
        <v>93</v>
      </c>
      <c r="T208" s="8">
        <f t="shared" si="3"/>
        <v>182680</v>
      </c>
    </row>
    <row r="209" spans="2:20" x14ac:dyDescent="0.35">
      <c r="B209" s="15">
        <v>212</v>
      </c>
      <c r="C209" s="16"/>
      <c r="D209" s="17"/>
      <c r="E209" s="35">
        <v>45871</v>
      </c>
      <c r="F209" s="23">
        <v>45870</v>
      </c>
      <c r="G209" s="11" t="s">
        <v>860</v>
      </c>
      <c r="H209" s="7" t="s">
        <v>143</v>
      </c>
      <c r="I209" s="7" t="s">
        <v>144</v>
      </c>
      <c r="J209" s="10" t="s">
        <v>144</v>
      </c>
      <c r="K209" s="21">
        <v>10</v>
      </c>
      <c r="L209" s="24">
        <v>1.8</v>
      </c>
      <c r="M209" s="24">
        <v>11.8</v>
      </c>
      <c r="N209" s="24"/>
      <c r="O209" s="24">
        <v>11.8</v>
      </c>
      <c r="P209" s="9" t="s">
        <v>41</v>
      </c>
      <c r="Q209" s="20" t="s">
        <v>858</v>
      </c>
      <c r="T209" s="8">
        <f t="shared" si="3"/>
        <v>11.8</v>
      </c>
    </row>
    <row r="210" spans="2:20" x14ac:dyDescent="0.35">
      <c r="B210" s="15">
        <v>213</v>
      </c>
      <c r="C210" s="16">
        <v>45873</v>
      </c>
      <c r="D210" s="17"/>
      <c r="E210" s="35">
        <v>45872</v>
      </c>
      <c r="F210" s="23">
        <v>45870</v>
      </c>
      <c r="G210" s="11" t="s">
        <v>859</v>
      </c>
      <c r="H210" s="7" t="s">
        <v>69</v>
      </c>
      <c r="I210" s="17" t="s">
        <v>433</v>
      </c>
      <c r="J210" s="18" t="s">
        <v>71</v>
      </c>
      <c r="K210" s="21">
        <v>41742.25</v>
      </c>
      <c r="L210" s="24">
        <v>7513.6049999999996</v>
      </c>
      <c r="M210" s="24">
        <v>49255.854999999996</v>
      </c>
      <c r="N210" s="24">
        <v>834.84500000000003</v>
      </c>
      <c r="O210" s="24">
        <v>48421.009999999995</v>
      </c>
      <c r="P210" s="9" t="s">
        <v>41</v>
      </c>
      <c r="Q210" s="20" t="s">
        <v>31</v>
      </c>
      <c r="T210" s="8">
        <f t="shared" si="3"/>
        <v>49255.854999999996</v>
      </c>
    </row>
    <row r="211" spans="2:20" x14ac:dyDescent="0.35">
      <c r="B211" s="15">
        <v>214</v>
      </c>
      <c r="C211" s="16">
        <v>45873</v>
      </c>
      <c r="D211" s="17"/>
      <c r="E211" s="35">
        <v>45872</v>
      </c>
      <c r="F211" s="23">
        <v>45870</v>
      </c>
      <c r="G211" s="11" t="s">
        <v>859</v>
      </c>
      <c r="H211" s="7" t="s">
        <v>69</v>
      </c>
      <c r="I211" s="17" t="s">
        <v>434</v>
      </c>
      <c r="J211" s="18" t="s">
        <v>71</v>
      </c>
      <c r="K211" s="21">
        <v>161643.6</v>
      </c>
      <c r="L211" s="24">
        <v>29095.848000000002</v>
      </c>
      <c r="M211" s="24">
        <v>190739.448</v>
      </c>
      <c r="N211" s="24">
        <v>3232.8720000000003</v>
      </c>
      <c r="O211" s="24">
        <v>187506.576</v>
      </c>
      <c r="P211" s="9" t="s">
        <v>41</v>
      </c>
      <c r="Q211" s="20" t="s">
        <v>31</v>
      </c>
      <c r="T211" s="8">
        <f t="shared" si="3"/>
        <v>190739.448</v>
      </c>
    </row>
    <row r="212" spans="2:20" x14ac:dyDescent="0.35">
      <c r="B212" s="15">
        <v>215</v>
      </c>
      <c r="C212" s="16">
        <v>45873</v>
      </c>
      <c r="D212" s="17"/>
      <c r="E212" s="35">
        <v>45872</v>
      </c>
      <c r="F212" s="23">
        <v>45839</v>
      </c>
      <c r="G212" s="11" t="s">
        <v>859</v>
      </c>
      <c r="H212" s="7" t="s">
        <v>69</v>
      </c>
      <c r="I212" s="17" t="s">
        <v>435</v>
      </c>
      <c r="J212" s="18" t="s">
        <v>71</v>
      </c>
      <c r="K212" s="21">
        <v>1623257.11</v>
      </c>
      <c r="L212" s="24">
        <v>292186.27980000002</v>
      </c>
      <c r="M212" s="24">
        <v>1915443.3898</v>
      </c>
      <c r="N212" s="24">
        <v>32465.142200000002</v>
      </c>
      <c r="O212" s="24">
        <v>1882978.2475999999</v>
      </c>
      <c r="P212" s="9" t="s">
        <v>41</v>
      </c>
      <c r="Q212" s="20" t="s">
        <v>31</v>
      </c>
      <c r="T212" s="8">
        <f t="shared" si="3"/>
        <v>1915443.3898</v>
      </c>
    </row>
    <row r="213" spans="2:20" x14ac:dyDescent="0.35">
      <c r="B213" s="15">
        <v>216</v>
      </c>
      <c r="C213" s="16"/>
      <c r="D213" s="17"/>
      <c r="E213" s="35">
        <v>45872</v>
      </c>
      <c r="F213" s="23">
        <v>45809</v>
      </c>
      <c r="G213" s="11" t="s">
        <v>859</v>
      </c>
      <c r="H213" s="7" t="s">
        <v>221</v>
      </c>
      <c r="I213" s="17" t="s">
        <v>222</v>
      </c>
      <c r="J213" s="18" t="s">
        <v>223</v>
      </c>
      <c r="K213" s="21">
        <v>79560</v>
      </c>
      <c r="L213" s="8">
        <v>14320.8</v>
      </c>
      <c r="M213" s="8">
        <v>93880.8</v>
      </c>
      <c r="N213" s="8">
        <v>795.6</v>
      </c>
      <c r="O213" s="8">
        <v>93085.2</v>
      </c>
      <c r="P213" s="9" t="s">
        <v>41</v>
      </c>
      <c r="Q213" s="12" t="s">
        <v>47</v>
      </c>
      <c r="T213" s="8">
        <f t="shared" si="3"/>
        <v>93880.8</v>
      </c>
    </row>
    <row r="214" spans="2:20" x14ac:dyDescent="0.35">
      <c r="B214" s="15">
        <v>217</v>
      </c>
      <c r="C214" s="16"/>
      <c r="D214" s="17"/>
      <c r="E214" s="35">
        <v>45872</v>
      </c>
      <c r="F214" s="23">
        <v>45809</v>
      </c>
      <c r="G214" s="11" t="s">
        <v>859</v>
      </c>
      <c r="H214" s="7" t="s">
        <v>221</v>
      </c>
      <c r="I214" s="17" t="s">
        <v>224</v>
      </c>
      <c r="J214" s="18" t="s">
        <v>223</v>
      </c>
      <c r="K214" s="21">
        <v>53333</v>
      </c>
      <c r="L214" s="8">
        <v>9599.94</v>
      </c>
      <c r="M214" s="8">
        <v>62932.94</v>
      </c>
      <c r="N214" s="8">
        <v>533.33000000000004</v>
      </c>
      <c r="O214" s="8">
        <v>62399.61</v>
      </c>
      <c r="P214" s="9" t="s">
        <v>41</v>
      </c>
      <c r="Q214" s="12" t="s">
        <v>47</v>
      </c>
      <c r="T214" s="8">
        <f t="shared" si="3"/>
        <v>62932.94</v>
      </c>
    </row>
    <row r="215" spans="2:20" x14ac:dyDescent="0.35">
      <c r="B215" s="15">
        <v>218</v>
      </c>
      <c r="C215" s="16"/>
      <c r="D215" s="17"/>
      <c r="E215" s="35">
        <v>45872</v>
      </c>
      <c r="F215" s="23">
        <v>45809</v>
      </c>
      <c r="G215" s="11" t="s">
        <v>859</v>
      </c>
      <c r="H215" s="7" t="s">
        <v>221</v>
      </c>
      <c r="I215" s="17" t="s">
        <v>225</v>
      </c>
      <c r="J215" s="18" t="s">
        <v>223</v>
      </c>
      <c r="K215" s="21">
        <v>7168</v>
      </c>
      <c r="L215" s="8">
        <v>1290.24</v>
      </c>
      <c r="M215" s="8">
        <v>8458.24</v>
      </c>
      <c r="N215" s="8">
        <v>71.680000000000007</v>
      </c>
      <c r="O215" s="8">
        <v>8386.56</v>
      </c>
      <c r="P215" s="9" t="s">
        <v>41</v>
      </c>
      <c r="Q215" s="12" t="s">
        <v>47</v>
      </c>
      <c r="T215" s="8">
        <f t="shared" si="3"/>
        <v>8458.24</v>
      </c>
    </row>
    <row r="216" spans="2:20" x14ac:dyDescent="0.35">
      <c r="B216" s="15">
        <v>219</v>
      </c>
      <c r="C216" s="16"/>
      <c r="D216" s="17"/>
      <c r="E216" s="35">
        <v>45872</v>
      </c>
      <c r="F216" s="23">
        <v>45809</v>
      </c>
      <c r="G216" s="11" t="s">
        <v>859</v>
      </c>
      <c r="H216" s="7" t="s">
        <v>221</v>
      </c>
      <c r="I216" s="17" t="s">
        <v>226</v>
      </c>
      <c r="J216" s="18" t="s">
        <v>223</v>
      </c>
      <c r="K216" s="21">
        <v>48960</v>
      </c>
      <c r="L216" s="8">
        <v>8812.7999999999993</v>
      </c>
      <c r="M216" s="8">
        <v>57772.800000000003</v>
      </c>
      <c r="N216" s="8">
        <v>489.6</v>
      </c>
      <c r="O216" s="8">
        <v>57283.200000000004</v>
      </c>
      <c r="P216" s="9" t="s">
        <v>41</v>
      </c>
      <c r="Q216" s="12" t="s">
        <v>47</v>
      </c>
      <c r="T216" s="8">
        <f t="shared" si="3"/>
        <v>57772.800000000003</v>
      </c>
    </row>
    <row r="217" spans="2:20" x14ac:dyDescent="0.35">
      <c r="B217" s="15">
        <v>220</v>
      </c>
      <c r="C217" s="16"/>
      <c r="D217" s="17"/>
      <c r="E217" s="35">
        <v>45872</v>
      </c>
      <c r="F217" s="23">
        <v>45809</v>
      </c>
      <c r="G217" s="11" t="s">
        <v>859</v>
      </c>
      <c r="H217" s="7" t="s">
        <v>221</v>
      </c>
      <c r="I217" s="17" t="s">
        <v>227</v>
      </c>
      <c r="J217" s="18" t="s">
        <v>223</v>
      </c>
      <c r="K217" s="21">
        <v>30780</v>
      </c>
      <c r="L217" s="8">
        <v>5540.4</v>
      </c>
      <c r="M217" s="8">
        <v>36320.400000000001</v>
      </c>
      <c r="N217" s="8">
        <v>307.8</v>
      </c>
      <c r="O217" s="8">
        <v>36012.6</v>
      </c>
      <c r="P217" s="9" t="s">
        <v>41</v>
      </c>
      <c r="Q217" s="12" t="s">
        <v>47</v>
      </c>
      <c r="T217" s="8">
        <f t="shared" si="3"/>
        <v>36320.400000000001</v>
      </c>
    </row>
    <row r="218" spans="2:20" x14ac:dyDescent="0.35">
      <c r="B218" s="15">
        <v>221</v>
      </c>
      <c r="C218" s="16"/>
      <c r="D218" s="17"/>
      <c r="E218" s="35">
        <v>45872</v>
      </c>
      <c r="F218" s="23">
        <v>45809</v>
      </c>
      <c r="G218" s="11" t="s">
        <v>859</v>
      </c>
      <c r="H218" s="7" t="s">
        <v>221</v>
      </c>
      <c r="I218" s="17" t="s">
        <v>228</v>
      </c>
      <c r="J218" s="10" t="s">
        <v>229</v>
      </c>
      <c r="K218" s="21">
        <v>197482</v>
      </c>
      <c r="L218" s="8">
        <v>35546.76</v>
      </c>
      <c r="M218" s="8">
        <v>233028.76</v>
      </c>
      <c r="N218" s="8">
        <v>1974.82</v>
      </c>
      <c r="O218" s="8">
        <v>231053.94</v>
      </c>
      <c r="P218" s="9" t="s">
        <v>41</v>
      </c>
      <c r="Q218" s="12" t="s">
        <v>93</v>
      </c>
      <c r="T218" s="8">
        <f t="shared" si="3"/>
        <v>233028.76</v>
      </c>
    </row>
    <row r="219" spans="2:20" x14ac:dyDescent="0.35">
      <c r="B219" s="15">
        <v>222</v>
      </c>
      <c r="C219" s="16"/>
      <c r="D219" s="17"/>
      <c r="E219" s="35">
        <v>45872</v>
      </c>
      <c r="F219" s="23">
        <v>45809</v>
      </c>
      <c r="G219" s="11" t="s">
        <v>859</v>
      </c>
      <c r="H219" s="7" t="s">
        <v>221</v>
      </c>
      <c r="I219" s="17" t="s">
        <v>230</v>
      </c>
      <c r="J219" s="10" t="s">
        <v>231</v>
      </c>
      <c r="K219" s="21">
        <v>204195</v>
      </c>
      <c r="L219" s="8">
        <v>36755.1</v>
      </c>
      <c r="M219" s="8">
        <v>240950.1</v>
      </c>
      <c r="N219" s="8">
        <v>2041.95</v>
      </c>
      <c r="O219" s="8">
        <v>238908.15</v>
      </c>
      <c r="P219" s="9" t="s">
        <v>41</v>
      </c>
      <c r="Q219" s="12" t="s">
        <v>27</v>
      </c>
      <c r="T219" s="8">
        <f t="shared" si="3"/>
        <v>240950.1</v>
      </c>
    </row>
    <row r="220" spans="2:20" ht="16.25" customHeight="1" x14ac:dyDescent="0.35">
      <c r="B220" s="15">
        <v>223</v>
      </c>
      <c r="C220" s="16"/>
      <c r="D220" s="17"/>
      <c r="E220" s="35">
        <v>45872</v>
      </c>
      <c r="F220" s="23">
        <v>45809</v>
      </c>
      <c r="G220" s="11" t="s">
        <v>859</v>
      </c>
      <c r="H220" s="7" t="s">
        <v>221</v>
      </c>
      <c r="I220" s="17" t="s">
        <v>232</v>
      </c>
      <c r="J220" s="10" t="s">
        <v>233</v>
      </c>
      <c r="K220" s="21">
        <v>25200</v>
      </c>
      <c r="L220" s="8">
        <v>4536</v>
      </c>
      <c r="M220" s="8">
        <v>29736</v>
      </c>
      <c r="N220" s="8">
        <v>252</v>
      </c>
      <c r="O220" s="8">
        <v>29484</v>
      </c>
      <c r="P220" s="9" t="s">
        <v>41</v>
      </c>
      <c r="Q220" s="12" t="s">
        <v>20</v>
      </c>
      <c r="T220" s="8">
        <f t="shared" si="3"/>
        <v>29736</v>
      </c>
    </row>
    <row r="221" spans="2:20" ht="16.75" customHeight="1" x14ac:dyDescent="0.35">
      <c r="B221" s="15">
        <v>224</v>
      </c>
      <c r="C221" s="16"/>
      <c r="D221" s="17"/>
      <c r="E221" s="35">
        <v>45872</v>
      </c>
      <c r="F221" s="23">
        <v>45809</v>
      </c>
      <c r="G221" s="11" t="s">
        <v>859</v>
      </c>
      <c r="H221" s="7" t="s">
        <v>221</v>
      </c>
      <c r="I221" s="17" t="s">
        <v>234</v>
      </c>
      <c r="J221" s="10" t="s">
        <v>233</v>
      </c>
      <c r="K221" s="21">
        <v>27200</v>
      </c>
      <c r="L221" s="8">
        <v>4896</v>
      </c>
      <c r="M221" s="8">
        <v>32096</v>
      </c>
      <c r="N221" s="8">
        <v>272</v>
      </c>
      <c r="O221" s="8">
        <v>31824</v>
      </c>
      <c r="P221" s="9" t="s">
        <v>41</v>
      </c>
      <c r="Q221" s="12" t="s">
        <v>20</v>
      </c>
      <c r="T221" s="8">
        <f t="shared" si="3"/>
        <v>32096</v>
      </c>
    </row>
    <row r="222" spans="2:20" x14ac:dyDescent="0.35">
      <c r="B222" s="15">
        <v>225</v>
      </c>
      <c r="C222" s="16"/>
      <c r="D222" s="17"/>
      <c r="E222" s="35">
        <v>45872</v>
      </c>
      <c r="F222" s="23">
        <v>45809</v>
      </c>
      <c r="G222" s="11" t="s">
        <v>859</v>
      </c>
      <c r="H222" s="7" t="s">
        <v>221</v>
      </c>
      <c r="I222" s="17" t="s">
        <v>235</v>
      </c>
      <c r="J222" s="10" t="s">
        <v>236</v>
      </c>
      <c r="K222" s="21">
        <v>27500</v>
      </c>
      <c r="L222" s="8">
        <v>4950</v>
      </c>
      <c r="M222" s="8">
        <v>32450</v>
      </c>
      <c r="N222" s="8">
        <v>275</v>
      </c>
      <c r="O222" s="8">
        <v>32175</v>
      </c>
      <c r="P222" s="9" t="s">
        <v>41</v>
      </c>
      <c r="Q222" s="12" t="s">
        <v>67</v>
      </c>
      <c r="T222" s="8">
        <f t="shared" si="3"/>
        <v>32450</v>
      </c>
    </row>
    <row r="223" spans="2:20" x14ac:dyDescent="0.35">
      <c r="B223" s="15">
        <v>226</v>
      </c>
      <c r="C223" s="16"/>
      <c r="D223" s="17"/>
      <c r="E223" s="35">
        <v>45872</v>
      </c>
      <c r="F223" s="23">
        <v>45809</v>
      </c>
      <c r="G223" s="11" t="s">
        <v>859</v>
      </c>
      <c r="H223" s="7" t="s">
        <v>221</v>
      </c>
      <c r="I223" s="17" t="s">
        <v>237</v>
      </c>
      <c r="J223" s="10" t="s">
        <v>236</v>
      </c>
      <c r="K223" s="21">
        <v>627998</v>
      </c>
      <c r="L223" s="8">
        <v>113039.64</v>
      </c>
      <c r="M223" s="8">
        <v>741037.64</v>
      </c>
      <c r="N223" s="8">
        <v>6279.9800000000005</v>
      </c>
      <c r="O223" s="8">
        <v>734757.66</v>
      </c>
      <c r="P223" s="9" t="s">
        <v>41</v>
      </c>
      <c r="Q223" s="12" t="s">
        <v>67</v>
      </c>
      <c r="T223" s="8">
        <f t="shared" si="3"/>
        <v>741037.64</v>
      </c>
    </row>
    <row r="224" spans="2:20" x14ac:dyDescent="0.35">
      <c r="B224" s="15">
        <v>227</v>
      </c>
      <c r="C224" s="16"/>
      <c r="D224" s="17"/>
      <c r="E224" s="35">
        <v>45872</v>
      </c>
      <c r="F224" s="23">
        <v>45809</v>
      </c>
      <c r="G224" s="11" t="s">
        <v>859</v>
      </c>
      <c r="H224" s="7" t="s">
        <v>221</v>
      </c>
      <c r="I224" s="17" t="s">
        <v>238</v>
      </c>
      <c r="J224" s="10" t="s">
        <v>236</v>
      </c>
      <c r="K224" s="21">
        <v>20000</v>
      </c>
      <c r="L224" s="8">
        <v>3600</v>
      </c>
      <c r="M224" s="8">
        <v>23600</v>
      </c>
      <c r="N224" s="8">
        <v>200</v>
      </c>
      <c r="O224" s="8">
        <v>23400</v>
      </c>
      <c r="P224" s="9" t="s">
        <v>41</v>
      </c>
      <c r="Q224" s="12" t="s">
        <v>67</v>
      </c>
      <c r="T224" s="8">
        <f t="shared" si="3"/>
        <v>23600</v>
      </c>
    </row>
    <row r="225" spans="2:20" x14ac:dyDescent="0.35">
      <c r="B225" s="15">
        <v>228</v>
      </c>
      <c r="C225" s="16"/>
      <c r="D225" s="17"/>
      <c r="E225" s="35">
        <v>45872</v>
      </c>
      <c r="F225" s="23">
        <v>45809</v>
      </c>
      <c r="G225" s="11" t="s">
        <v>859</v>
      </c>
      <c r="H225" s="7" t="s">
        <v>221</v>
      </c>
      <c r="I225" s="17" t="s">
        <v>239</v>
      </c>
      <c r="J225" s="10" t="s">
        <v>240</v>
      </c>
      <c r="K225" s="21">
        <v>19000</v>
      </c>
      <c r="L225" s="8">
        <v>3420</v>
      </c>
      <c r="M225" s="8">
        <v>22420</v>
      </c>
      <c r="N225" s="8">
        <v>190</v>
      </c>
      <c r="O225" s="8">
        <v>22230</v>
      </c>
      <c r="P225" s="9" t="s">
        <v>41</v>
      </c>
      <c r="Q225" s="12" t="s">
        <v>241</v>
      </c>
      <c r="T225" s="8">
        <f t="shared" si="3"/>
        <v>22420</v>
      </c>
    </row>
    <row r="226" spans="2:20" x14ac:dyDescent="0.35">
      <c r="B226" s="15">
        <v>229</v>
      </c>
      <c r="C226" s="16"/>
      <c r="D226" s="17"/>
      <c r="E226" s="35">
        <v>45872</v>
      </c>
      <c r="F226" s="23">
        <v>45809</v>
      </c>
      <c r="G226" s="11" t="s">
        <v>859</v>
      </c>
      <c r="H226" s="7" t="s">
        <v>221</v>
      </c>
      <c r="I226" s="17" t="s">
        <v>242</v>
      </c>
      <c r="J226" s="10" t="s">
        <v>236</v>
      </c>
      <c r="K226" s="21">
        <v>36720</v>
      </c>
      <c r="L226" s="8">
        <v>6609.5999999999995</v>
      </c>
      <c r="M226" s="8">
        <v>43329.599999999999</v>
      </c>
      <c r="N226" s="8">
        <v>367.2</v>
      </c>
      <c r="O226" s="8">
        <v>42962.400000000001</v>
      </c>
      <c r="P226" s="9" t="s">
        <v>41</v>
      </c>
      <c r="Q226" s="12" t="s">
        <v>67</v>
      </c>
      <c r="T226" s="8">
        <f t="shared" si="3"/>
        <v>43329.599999999999</v>
      </c>
    </row>
    <row r="227" spans="2:20" x14ac:dyDescent="0.35">
      <c r="B227" s="15">
        <v>230</v>
      </c>
      <c r="C227" s="16"/>
      <c r="D227" s="17"/>
      <c r="E227" s="35">
        <v>45872</v>
      </c>
      <c r="F227" s="23">
        <v>45809</v>
      </c>
      <c r="G227" s="11" t="s">
        <v>859</v>
      </c>
      <c r="H227" s="7" t="s">
        <v>221</v>
      </c>
      <c r="I227" s="17" t="s">
        <v>243</v>
      </c>
      <c r="J227" s="18" t="s">
        <v>223</v>
      </c>
      <c r="K227" s="21">
        <v>80000</v>
      </c>
      <c r="L227" s="8">
        <v>14400</v>
      </c>
      <c r="M227" s="8">
        <v>94400</v>
      </c>
      <c r="N227" s="8">
        <v>800</v>
      </c>
      <c r="O227" s="8">
        <v>93600</v>
      </c>
      <c r="P227" s="9" t="s">
        <v>41</v>
      </c>
      <c r="Q227" s="12" t="s">
        <v>47</v>
      </c>
      <c r="T227" s="8">
        <f t="shared" si="3"/>
        <v>94400</v>
      </c>
    </row>
    <row r="228" spans="2:20" x14ac:dyDescent="0.35">
      <c r="B228" s="15">
        <v>231</v>
      </c>
      <c r="C228" s="16"/>
      <c r="D228" s="17"/>
      <c r="E228" s="35">
        <v>45859</v>
      </c>
      <c r="F228" s="23">
        <v>45870</v>
      </c>
      <c r="G228" s="11" t="s">
        <v>860</v>
      </c>
      <c r="H228" s="7" t="s">
        <v>16</v>
      </c>
      <c r="I228" s="28"/>
      <c r="J228" s="27" t="s">
        <v>309</v>
      </c>
      <c r="K228" s="21">
        <v>876128</v>
      </c>
      <c r="L228" s="24"/>
      <c r="M228" s="24">
        <v>876128</v>
      </c>
      <c r="N228" s="24"/>
      <c r="O228" s="24">
        <v>876128</v>
      </c>
      <c r="P228" s="18" t="s">
        <v>19</v>
      </c>
      <c r="Q228" s="20" t="s">
        <v>20</v>
      </c>
      <c r="T228" s="8">
        <f t="shared" si="3"/>
        <v>876128</v>
      </c>
    </row>
    <row r="229" spans="2:20" x14ac:dyDescent="0.35">
      <c r="B229" s="15">
        <v>232</v>
      </c>
      <c r="C229" s="16">
        <v>45881</v>
      </c>
      <c r="D229" s="17"/>
      <c r="E229" s="35">
        <f t="shared" ref="E229:E251" si="4">C229</f>
        <v>45881</v>
      </c>
      <c r="F229" s="23">
        <v>45870</v>
      </c>
      <c r="G229" s="11" t="s">
        <v>860</v>
      </c>
      <c r="H229" s="11" t="s">
        <v>436</v>
      </c>
      <c r="I229" s="17" t="s">
        <v>353</v>
      </c>
      <c r="J229" s="27" t="s">
        <v>40</v>
      </c>
      <c r="K229" s="21">
        <v>8980</v>
      </c>
      <c r="L229" s="24">
        <v>1616</v>
      </c>
      <c r="M229" s="24">
        <v>10596</v>
      </c>
      <c r="N229" s="24">
        <v>180</v>
      </c>
      <c r="O229" s="24">
        <v>10417</v>
      </c>
      <c r="P229" s="9" t="s">
        <v>41</v>
      </c>
      <c r="Q229" s="37" t="s">
        <v>27</v>
      </c>
      <c r="T229" s="8">
        <f t="shared" si="3"/>
        <v>10597</v>
      </c>
    </row>
    <row r="230" spans="2:20" x14ac:dyDescent="0.35">
      <c r="B230" s="15">
        <v>233</v>
      </c>
      <c r="C230" s="16">
        <v>45881</v>
      </c>
      <c r="D230" s="17"/>
      <c r="E230" s="35">
        <f t="shared" si="4"/>
        <v>45881</v>
      </c>
      <c r="F230" s="23">
        <v>45870</v>
      </c>
      <c r="G230" s="11" t="s">
        <v>860</v>
      </c>
      <c r="H230" s="7" t="s">
        <v>23</v>
      </c>
      <c r="I230" s="17" t="s">
        <v>437</v>
      </c>
      <c r="J230" s="18" t="s">
        <v>46</v>
      </c>
      <c r="K230" s="21">
        <v>67008</v>
      </c>
      <c r="L230" s="24">
        <v>11864</v>
      </c>
      <c r="M230" s="24">
        <v>79472</v>
      </c>
      <c r="N230" s="24"/>
      <c r="O230" s="24">
        <v>79472</v>
      </c>
      <c r="P230" s="9" t="s">
        <v>26</v>
      </c>
      <c r="Q230" s="12" t="s">
        <v>67</v>
      </c>
      <c r="T230" s="8">
        <f t="shared" si="3"/>
        <v>79472</v>
      </c>
    </row>
    <row r="231" spans="2:20" x14ac:dyDescent="0.35">
      <c r="B231" s="15">
        <v>234</v>
      </c>
      <c r="C231" s="16">
        <v>45873</v>
      </c>
      <c r="D231" s="17"/>
      <c r="E231" s="35">
        <f t="shared" si="4"/>
        <v>45873</v>
      </c>
      <c r="F231" s="23">
        <v>45870</v>
      </c>
      <c r="G231" s="11" t="s">
        <v>860</v>
      </c>
      <c r="H231" s="11" t="s">
        <v>133</v>
      </c>
      <c r="I231" s="17" t="s">
        <v>438</v>
      </c>
      <c r="J231" s="27" t="s">
        <v>92</v>
      </c>
      <c r="K231" s="21">
        <v>480025</v>
      </c>
      <c r="L231" s="24">
        <v>86405</v>
      </c>
      <c r="M231" s="24">
        <v>566430</v>
      </c>
      <c r="N231" s="24"/>
      <c r="O231" s="24">
        <v>99917</v>
      </c>
      <c r="P231" s="9" t="s">
        <v>26</v>
      </c>
      <c r="Q231" s="37" t="s">
        <v>93</v>
      </c>
      <c r="T231" s="8">
        <f t="shared" si="3"/>
        <v>99917</v>
      </c>
    </row>
    <row r="232" spans="2:20" x14ac:dyDescent="0.35">
      <c r="B232" s="15">
        <v>235</v>
      </c>
      <c r="C232" s="16">
        <v>45881</v>
      </c>
      <c r="D232" s="17"/>
      <c r="E232" s="35">
        <f t="shared" si="4"/>
        <v>45881</v>
      </c>
      <c r="F232" s="14">
        <v>45870</v>
      </c>
      <c r="G232" s="11" t="s">
        <v>860</v>
      </c>
      <c r="H232" s="7" t="s">
        <v>411</v>
      </c>
      <c r="I232" s="17" t="s">
        <v>439</v>
      </c>
      <c r="J232" s="27" t="s">
        <v>85</v>
      </c>
      <c r="K232" s="21">
        <v>47250</v>
      </c>
      <c r="L232" s="24">
        <v>8505</v>
      </c>
      <c r="M232" s="24">
        <v>55755</v>
      </c>
      <c r="N232" s="24">
        <v>472.5</v>
      </c>
      <c r="O232" s="24">
        <v>55282.5</v>
      </c>
      <c r="P232" s="9" t="s">
        <v>26</v>
      </c>
      <c r="Q232" s="37" t="s">
        <v>27</v>
      </c>
      <c r="T232" s="8">
        <f t="shared" si="3"/>
        <v>55755</v>
      </c>
    </row>
    <row r="233" spans="2:20" x14ac:dyDescent="0.35">
      <c r="B233" s="15">
        <v>236</v>
      </c>
      <c r="C233" s="16">
        <v>45881</v>
      </c>
      <c r="D233" s="17"/>
      <c r="E233" s="35">
        <f t="shared" si="4"/>
        <v>45881</v>
      </c>
      <c r="F233" s="14">
        <v>45870</v>
      </c>
      <c r="G233" s="11" t="s">
        <v>860</v>
      </c>
      <c r="H233" s="7" t="s">
        <v>411</v>
      </c>
      <c r="I233" s="17" t="s">
        <v>440</v>
      </c>
      <c r="J233" s="10" t="s">
        <v>122</v>
      </c>
      <c r="K233" s="21">
        <v>17500</v>
      </c>
      <c r="L233" s="24">
        <v>3150</v>
      </c>
      <c r="M233" s="24">
        <v>20650</v>
      </c>
      <c r="N233" s="24">
        <v>175</v>
      </c>
      <c r="O233" s="24">
        <v>20475</v>
      </c>
      <c r="P233" s="9" t="s">
        <v>26</v>
      </c>
      <c r="Q233" s="12" t="s">
        <v>27</v>
      </c>
      <c r="T233" s="8">
        <f t="shared" si="3"/>
        <v>20650</v>
      </c>
    </row>
    <row r="234" spans="2:20" x14ac:dyDescent="0.35">
      <c r="B234" s="15">
        <v>237</v>
      </c>
      <c r="C234" s="16">
        <v>45881</v>
      </c>
      <c r="D234" s="17"/>
      <c r="E234" s="35">
        <f t="shared" si="4"/>
        <v>45881</v>
      </c>
      <c r="F234" s="23">
        <v>45839</v>
      </c>
      <c r="G234" s="11" t="s">
        <v>860</v>
      </c>
      <c r="H234" s="7" t="s">
        <v>64</v>
      </c>
      <c r="I234" s="17" t="s">
        <v>441</v>
      </c>
      <c r="J234" s="10" t="s">
        <v>66</v>
      </c>
      <c r="K234" s="21">
        <v>97000</v>
      </c>
      <c r="L234" s="24">
        <v>17460</v>
      </c>
      <c r="M234" s="24">
        <v>114460</v>
      </c>
      <c r="N234" s="24">
        <v>970</v>
      </c>
      <c r="O234" s="24">
        <v>113490</v>
      </c>
      <c r="P234" s="9" t="s">
        <v>41</v>
      </c>
      <c r="Q234" s="37" t="s">
        <v>67</v>
      </c>
      <c r="T234" s="8">
        <f t="shared" si="3"/>
        <v>114460</v>
      </c>
    </row>
    <row r="235" spans="2:20" x14ac:dyDescent="0.35">
      <c r="B235" s="15">
        <v>238</v>
      </c>
      <c r="C235" s="16">
        <v>45881</v>
      </c>
      <c r="D235" s="17"/>
      <c r="E235" s="35">
        <f t="shared" si="4"/>
        <v>45881</v>
      </c>
      <c r="F235" s="23">
        <v>45870</v>
      </c>
      <c r="G235" s="11" t="s">
        <v>860</v>
      </c>
      <c r="H235" s="11" t="s">
        <v>53</v>
      </c>
      <c r="I235" s="17" t="s">
        <v>165</v>
      </c>
      <c r="J235" s="27" t="s">
        <v>55</v>
      </c>
      <c r="K235" s="21">
        <v>29764</v>
      </c>
      <c r="L235" s="24">
        <v>3571.68</v>
      </c>
      <c r="M235" s="24">
        <v>33335.68</v>
      </c>
      <c r="N235" s="24"/>
      <c r="O235" s="24">
        <v>33335.68</v>
      </c>
      <c r="P235" s="9" t="s">
        <v>41</v>
      </c>
      <c r="Q235" s="37" t="s">
        <v>27</v>
      </c>
      <c r="T235" s="8">
        <f t="shared" si="3"/>
        <v>33335.68</v>
      </c>
    </row>
    <row r="236" spans="2:20" x14ac:dyDescent="0.35">
      <c r="B236" s="15">
        <v>239</v>
      </c>
      <c r="C236" s="16">
        <v>45881</v>
      </c>
      <c r="D236" s="17"/>
      <c r="E236" s="35">
        <f t="shared" si="4"/>
        <v>45881</v>
      </c>
      <c r="F236" s="23">
        <v>45870</v>
      </c>
      <c r="G236" s="11" t="s">
        <v>860</v>
      </c>
      <c r="H236" s="7" t="s">
        <v>83</v>
      </c>
      <c r="I236" s="17" t="s">
        <v>84</v>
      </c>
      <c r="J236" s="10" t="s">
        <v>85</v>
      </c>
      <c r="K236" s="21">
        <v>352880</v>
      </c>
      <c r="L236" s="24">
        <v>63518.399999999994</v>
      </c>
      <c r="M236" s="24">
        <v>416398.4</v>
      </c>
      <c r="N236" s="24">
        <v>7057.6</v>
      </c>
      <c r="O236" s="24">
        <v>409340.80000000005</v>
      </c>
      <c r="P236" s="9" t="s">
        <v>41</v>
      </c>
      <c r="Q236" s="12" t="s">
        <v>27</v>
      </c>
      <c r="T236" s="8">
        <f t="shared" si="3"/>
        <v>416398.4</v>
      </c>
    </row>
    <row r="237" spans="2:20" x14ac:dyDescent="0.35">
      <c r="B237" s="15">
        <v>240</v>
      </c>
      <c r="C237" s="16">
        <v>45871</v>
      </c>
      <c r="D237" s="17"/>
      <c r="E237" s="35">
        <f t="shared" si="4"/>
        <v>45871</v>
      </c>
      <c r="F237" s="23">
        <v>45870</v>
      </c>
      <c r="G237" s="11" t="s">
        <v>860</v>
      </c>
      <c r="H237" s="7" t="s">
        <v>380</v>
      </c>
      <c r="I237" s="7" t="s">
        <v>381</v>
      </c>
      <c r="J237" s="10" t="s">
        <v>382</v>
      </c>
      <c r="K237" s="21">
        <v>181980</v>
      </c>
      <c r="L237" s="24"/>
      <c r="M237" s="24">
        <v>182680</v>
      </c>
      <c r="N237" s="24"/>
      <c r="O237" s="24">
        <v>182680</v>
      </c>
      <c r="P237" s="9" t="s">
        <v>41</v>
      </c>
      <c r="Q237" s="12" t="s">
        <v>93</v>
      </c>
      <c r="T237" s="8">
        <f t="shared" si="3"/>
        <v>182680</v>
      </c>
    </row>
    <row r="238" spans="2:20" x14ac:dyDescent="0.35">
      <c r="B238" s="15">
        <v>241</v>
      </c>
      <c r="C238" s="16">
        <v>45888</v>
      </c>
      <c r="D238" s="17"/>
      <c r="E238" s="35">
        <f t="shared" si="4"/>
        <v>45888</v>
      </c>
      <c r="F238" s="23">
        <v>45870</v>
      </c>
      <c r="G238" s="11" t="s">
        <v>860</v>
      </c>
      <c r="H238" s="7" t="s">
        <v>279</v>
      </c>
      <c r="I238" s="17" t="s">
        <v>442</v>
      </c>
      <c r="J238" s="27" t="s">
        <v>443</v>
      </c>
      <c r="K238" s="21">
        <v>105985</v>
      </c>
      <c r="L238" s="24">
        <v>19077.3</v>
      </c>
      <c r="M238" s="24">
        <v>125062.3</v>
      </c>
      <c r="N238" s="24">
        <v>2119.6999999999998</v>
      </c>
      <c r="O238" s="24">
        <v>122942.6</v>
      </c>
      <c r="P238" s="9" t="s">
        <v>41</v>
      </c>
      <c r="Q238" s="37" t="s">
        <v>93</v>
      </c>
      <c r="T238" s="8">
        <f t="shared" si="3"/>
        <v>125062.3</v>
      </c>
    </row>
    <row r="239" spans="2:20" x14ac:dyDescent="0.35">
      <c r="B239" s="15">
        <v>242</v>
      </c>
      <c r="C239" s="16">
        <v>45888</v>
      </c>
      <c r="D239" s="17"/>
      <c r="E239" s="35">
        <f t="shared" si="4"/>
        <v>45888</v>
      </c>
      <c r="F239" s="23">
        <v>45870</v>
      </c>
      <c r="G239" s="11" t="s">
        <v>860</v>
      </c>
      <c r="H239" s="7" t="s">
        <v>279</v>
      </c>
      <c r="I239" s="17" t="s">
        <v>444</v>
      </c>
      <c r="J239" s="27" t="s">
        <v>336</v>
      </c>
      <c r="K239" s="21">
        <v>62506</v>
      </c>
      <c r="L239" s="24">
        <v>11251.08</v>
      </c>
      <c r="M239" s="24">
        <v>73757.08</v>
      </c>
      <c r="N239" s="24"/>
      <c r="O239" s="24">
        <v>42504.08</v>
      </c>
      <c r="P239" s="9" t="s">
        <v>26</v>
      </c>
      <c r="Q239" s="12" t="s">
        <v>93</v>
      </c>
      <c r="T239" s="8">
        <f t="shared" si="3"/>
        <v>42504.08</v>
      </c>
    </row>
    <row r="240" spans="2:20" x14ac:dyDescent="0.35">
      <c r="B240" s="15">
        <v>243</v>
      </c>
      <c r="C240" s="16">
        <v>45888</v>
      </c>
      <c r="D240" s="17"/>
      <c r="E240" s="35">
        <f t="shared" si="4"/>
        <v>45888</v>
      </c>
      <c r="F240" s="23">
        <v>45870</v>
      </c>
      <c r="G240" s="11" t="s">
        <v>860</v>
      </c>
      <c r="H240" s="7" t="s">
        <v>279</v>
      </c>
      <c r="I240" s="17" t="s">
        <v>445</v>
      </c>
      <c r="J240" s="27" t="s">
        <v>336</v>
      </c>
      <c r="K240" s="21">
        <v>75648</v>
      </c>
      <c r="L240" s="24">
        <v>13616.64</v>
      </c>
      <c r="M240" s="24">
        <v>89264.639999999999</v>
      </c>
      <c r="N240" s="24"/>
      <c r="O240" s="24">
        <v>51440.639999999999</v>
      </c>
      <c r="P240" s="9" t="s">
        <v>26</v>
      </c>
      <c r="Q240" s="12" t="s">
        <v>93</v>
      </c>
      <c r="T240" s="8">
        <f t="shared" si="3"/>
        <v>51440.639999999999</v>
      </c>
    </row>
    <row r="241" spans="2:20" x14ac:dyDescent="0.35">
      <c r="B241" s="15">
        <v>244</v>
      </c>
      <c r="C241" s="16">
        <v>45888</v>
      </c>
      <c r="D241" s="17"/>
      <c r="E241" s="35">
        <f t="shared" si="4"/>
        <v>45888</v>
      </c>
      <c r="F241" s="23">
        <v>45870</v>
      </c>
      <c r="G241" s="11" t="s">
        <v>860</v>
      </c>
      <c r="H241" s="7" t="s">
        <v>279</v>
      </c>
      <c r="I241" s="17" t="s">
        <v>446</v>
      </c>
      <c r="J241" s="27" t="s">
        <v>336</v>
      </c>
      <c r="K241" s="21">
        <v>9997</v>
      </c>
      <c r="L241" s="24">
        <v>1799.46</v>
      </c>
      <c r="M241" s="24">
        <v>11796.46</v>
      </c>
      <c r="N241" s="24"/>
      <c r="O241" s="24">
        <v>11796.46</v>
      </c>
      <c r="P241" s="9" t="s">
        <v>26</v>
      </c>
      <c r="Q241" s="12" t="s">
        <v>93</v>
      </c>
      <c r="T241" s="8">
        <f t="shared" si="3"/>
        <v>11796.46</v>
      </c>
    </row>
    <row r="242" spans="2:20" x14ac:dyDescent="0.35">
      <c r="B242" s="15">
        <v>245</v>
      </c>
      <c r="C242" s="16">
        <v>45888</v>
      </c>
      <c r="D242" s="17"/>
      <c r="E242" s="35">
        <f t="shared" si="4"/>
        <v>45888</v>
      </c>
      <c r="F242" s="23">
        <v>45870</v>
      </c>
      <c r="G242" s="11" t="s">
        <v>860</v>
      </c>
      <c r="H242" s="7" t="s">
        <v>279</v>
      </c>
      <c r="I242" s="17" t="s">
        <v>447</v>
      </c>
      <c r="J242" s="27" t="s">
        <v>443</v>
      </c>
      <c r="K242" s="21">
        <v>71000</v>
      </c>
      <c r="L242" s="24">
        <v>12780</v>
      </c>
      <c r="M242" s="24">
        <v>83780</v>
      </c>
      <c r="N242" s="24">
        <v>1420</v>
      </c>
      <c r="O242" s="24">
        <v>82360</v>
      </c>
      <c r="P242" s="9" t="s">
        <v>41</v>
      </c>
      <c r="Q242" s="37" t="s">
        <v>93</v>
      </c>
      <c r="T242" s="8">
        <f t="shared" si="3"/>
        <v>83780</v>
      </c>
    </row>
    <row r="243" spans="2:20" x14ac:dyDescent="0.35">
      <c r="B243" s="15">
        <v>246</v>
      </c>
      <c r="C243" s="16">
        <v>45888</v>
      </c>
      <c r="D243" s="17"/>
      <c r="E243" s="35">
        <f t="shared" si="4"/>
        <v>45888</v>
      </c>
      <c r="F243" s="23">
        <v>45870</v>
      </c>
      <c r="G243" s="11" t="s">
        <v>860</v>
      </c>
      <c r="H243" s="11" t="s">
        <v>448</v>
      </c>
      <c r="I243" s="17" t="s">
        <v>449</v>
      </c>
      <c r="J243" s="27" t="s">
        <v>266</v>
      </c>
      <c r="K243" s="21">
        <v>10800</v>
      </c>
      <c r="L243" s="24">
        <v>1944</v>
      </c>
      <c r="M243" s="24">
        <v>12744</v>
      </c>
      <c r="N243" s="24"/>
      <c r="O243" s="24">
        <v>12744</v>
      </c>
      <c r="P243" s="9" t="s">
        <v>26</v>
      </c>
      <c r="Q243" s="12" t="s">
        <v>241</v>
      </c>
      <c r="T243" s="8">
        <f t="shared" si="3"/>
        <v>12744</v>
      </c>
    </row>
    <row r="244" spans="2:20" x14ac:dyDescent="0.35">
      <c r="B244" s="15">
        <v>247</v>
      </c>
      <c r="C244" s="16">
        <v>45888</v>
      </c>
      <c r="D244" s="17"/>
      <c r="E244" s="35">
        <f t="shared" si="4"/>
        <v>45888</v>
      </c>
      <c r="F244" s="23">
        <v>45870</v>
      </c>
      <c r="G244" s="11" t="s">
        <v>860</v>
      </c>
      <c r="H244" s="7" t="s">
        <v>49</v>
      </c>
      <c r="I244" s="17" t="s">
        <v>450</v>
      </c>
      <c r="J244" s="10" t="s">
        <v>51</v>
      </c>
      <c r="K244" s="21">
        <v>33300</v>
      </c>
      <c r="L244" s="24">
        <v>5994</v>
      </c>
      <c r="M244" s="24">
        <v>39294</v>
      </c>
      <c r="N244" s="24"/>
      <c r="O244" s="24">
        <v>22590</v>
      </c>
      <c r="P244" s="9" t="s">
        <v>26</v>
      </c>
      <c r="Q244" s="37" t="s">
        <v>31</v>
      </c>
      <c r="T244" s="8">
        <f t="shared" si="3"/>
        <v>22590</v>
      </c>
    </row>
    <row r="245" spans="2:20" x14ac:dyDescent="0.35">
      <c r="B245" s="15">
        <v>248</v>
      </c>
      <c r="C245" s="16">
        <v>45888</v>
      </c>
      <c r="D245" s="17"/>
      <c r="E245" s="35">
        <f t="shared" si="4"/>
        <v>45888</v>
      </c>
      <c r="F245" s="23">
        <v>45839</v>
      </c>
      <c r="G245" s="11" t="s">
        <v>860</v>
      </c>
      <c r="H245" s="7" t="s">
        <v>49</v>
      </c>
      <c r="I245" s="17" t="s">
        <v>451</v>
      </c>
      <c r="J245" s="10" t="s">
        <v>51</v>
      </c>
      <c r="K245" s="21">
        <v>7500</v>
      </c>
      <c r="L245" s="24">
        <v>1350</v>
      </c>
      <c r="M245" s="24">
        <v>8850</v>
      </c>
      <c r="N245" s="24">
        <v>75</v>
      </c>
      <c r="O245" s="24">
        <v>8775</v>
      </c>
      <c r="P245" s="9" t="s">
        <v>41</v>
      </c>
      <c r="Q245" s="37" t="s">
        <v>31</v>
      </c>
      <c r="T245" s="8">
        <f t="shared" si="3"/>
        <v>8850</v>
      </c>
    </row>
    <row r="246" spans="2:20" x14ac:dyDescent="0.35">
      <c r="B246" s="15">
        <v>249</v>
      </c>
      <c r="C246" s="16">
        <v>45888</v>
      </c>
      <c r="D246" s="17"/>
      <c r="E246" s="35">
        <f t="shared" si="4"/>
        <v>45888</v>
      </c>
      <c r="F246" s="23">
        <v>45870</v>
      </c>
      <c r="G246" s="11" t="s">
        <v>860</v>
      </c>
      <c r="H246" s="11" t="s">
        <v>200</v>
      </c>
      <c r="I246" s="17" t="s">
        <v>452</v>
      </c>
      <c r="J246" s="18" t="s">
        <v>89</v>
      </c>
      <c r="K246" s="21">
        <v>13750</v>
      </c>
      <c r="L246" s="24">
        <v>2475</v>
      </c>
      <c r="M246" s="24">
        <v>16225</v>
      </c>
      <c r="N246" s="24"/>
      <c r="O246" s="24">
        <v>16225</v>
      </c>
      <c r="P246" s="9" t="s">
        <v>41</v>
      </c>
      <c r="Q246" s="12" t="s">
        <v>67</v>
      </c>
      <c r="T246" s="8">
        <f t="shared" si="3"/>
        <v>16225</v>
      </c>
    </row>
    <row r="247" spans="2:20" ht="20.399999999999999" customHeight="1" x14ac:dyDescent="0.35">
      <c r="B247" s="15">
        <v>250</v>
      </c>
      <c r="C247" s="16">
        <v>45888</v>
      </c>
      <c r="D247" s="17"/>
      <c r="E247" s="35">
        <f t="shared" si="4"/>
        <v>45888</v>
      </c>
      <c r="F247" s="23">
        <v>45870</v>
      </c>
      <c r="G247" s="11" t="s">
        <v>860</v>
      </c>
      <c r="H247" s="7" t="s">
        <v>453</v>
      </c>
      <c r="I247" s="17" t="s">
        <v>454</v>
      </c>
      <c r="J247" s="10" t="s">
        <v>455</v>
      </c>
      <c r="K247" s="21">
        <v>791475</v>
      </c>
      <c r="L247" s="24">
        <v>142465.5</v>
      </c>
      <c r="M247" s="24">
        <v>933940.5</v>
      </c>
      <c r="N247" s="24">
        <v>7914.75</v>
      </c>
      <c r="O247" s="24">
        <v>466970</v>
      </c>
      <c r="P247" s="18" t="s">
        <v>19</v>
      </c>
      <c r="Q247" s="12" t="s">
        <v>27</v>
      </c>
      <c r="T247" s="8">
        <f t="shared" si="3"/>
        <v>474884.75</v>
      </c>
    </row>
    <row r="248" spans="2:20" x14ac:dyDescent="0.35">
      <c r="B248" s="15">
        <v>251</v>
      </c>
      <c r="C248" s="16">
        <v>45891</v>
      </c>
      <c r="D248" s="17"/>
      <c r="E248" s="35">
        <f t="shared" si="4"/>
        <v>45891</v>
      </c>
      <c r="F248" s="23">
        <v>45870</v>
      </c>
      <c r="G248" s="11" t="s">
        <v>860</v>
      </c>
      <c r="H248" s="11" t="s">
        <v>456</v>
      </c>
      <c r="I248" s="17" t="s">
        <v>457</v>
      </c>
      <c r="J248" s="27" t="s">
        <v>266</v>
      </c>
      <c r="K248" s="21">
        <v>11100</v>
      </c>
      <c r="L248" s="24"/>
      <c r="M248" s="24">
        <v>11100</v>
      </c>
      <c r="N248" s="24"/>
      <c r="O248" s="24">
        <v>11100</v>
      </c>
      <c r="P248" s="9" t="s">
        <v>26</v>
      </c>
      <c r="Q248" s="12" t="s">
        <v>241</v>
      </c>
      <c r="T248" s="8">
        <f t="shared" si="3"/>
        <v>11100</v>
      </c>
    </row>
    <row r="249" spans="2:20" x14ac:dyDescent="0.35">
      <c r="B249" s="15">
        <v>252</v>
      </c>
      <c r="C249" s="16">
        <v>45893</v>
      </c>
      <c r="D249" s="17"/>
      <c r="E249" s="35">
        <f t="shared" si="4"/>
        <v>45893</v>
      </c>
      <c r="F249" s="23">
        <v>45809</v>
      </c>
      <c r="G249" s="11" t="s">
        <v>859</v>
      </c>
      <c r="H249" s="7" t="s">
        <v>152</v>
      </c>
      <c r="I249" s="17" t="s">
        <v>458</v>
      </c>
      <c r="J249" s="18" t="s">
        <v>154</v>
      </c>
      <c r="K249" s="21">
        <v>480652.53</v>
      </c>
      <c r="L249" s="24">
        <v>86517.455400000006</v>
      </c>
      <c r="M249" s="24">
        <v>567169.98540000001</v>
      </c>
      <c r="N249" s="24">
        <v>4806.5253000000002</v>
      </c>
      <c r="O249" s="24">
        <v>562363.46010000003</v>
      </c>
      <c r="P249" s="9" t="s">
        <v>41</v>
      </c>
      <c r="Q249" s="20" t="s">
        <v>155</v>
      </c>
      <c r="T249" s="8">
        <f t="shared" si="3"/>
        <v>567169.98540000001</v>
      </c>
    </row>
    <row r="250" spans="2:20" x14ac:dyDescent="0.35">
      <c r="B250" s="15">
        <v>253</v>
      </c>
      <c r="C250" s="16">
        <v>45891</v>
      </c>
      <c r="D250" s="17"/>
      <c r="E250" s="35">
        <f t="shared" si="4"/>
        <v>45891</v>
      </c>
      <c r="F250" s="23">
        <v>45870</v>
      </c>
      <c r="G250" s="11" t="s">
        <v>860</v>
      </c>
      <c r="H250" s="11" t="s">
        <v>459</v>
      </c>
      <c r="I250" s="17" t="s">
        <v>460</v>
      </c>
      <c r="J250" s="27" t="s">
        <v>161</v>
      </c>
      <c r="K250" s="21">
        <v>41140</v>
      </c>
      <c r="L250" s="24">
        <v>7402.6</v>
      </c>
      <c r="M250" s="24">
        <v>48542.6</v>
      </c>
      <c r="N250" s="24"/>
      <c r="O250" s="24">
        <v>48543</v>
      </c>
      <c r="P250" s="9" t="s">
        <v>26</v>
      </c>
      <c r="Q250" s="12" t="s">
        <v>241</v>
      </c>
      <c r="T250" s="8">
        <f t="shared" si="3"/>
        <v>48543</v>
      </c>
    </row>
    <row r="251" spans="2:20" x14ac:dyDescent="0.35">
      <c r="B251" s="15">
        <v>254</v>
      </c>
      <c r="C251" s="16">
        <v>45891</v>
      </c>
      <c r="D251" s="17"/>
      <c r="E251" s="35">
        <f t="shared" si="4"/>
        <v>45891</v>
      </c>
      <c r="F251" s="23">
        <v>45870</v>
      </c>
      <c r="G251" s="11" t="s">
        <v>860</v>
      </c>
      <c r="H251" s="11" t="s">
        <v>459</v>
      </c>
      <c r="I251" s="17" t="s">
        <v>461</v>
      </c>
      <c r="J251" s="27" t="s">
        <v>161</v>
      </c>
      <c r="K251" s="21">
        <v>49900</v>
      </c>
      <c r="L251" s="24">
        <v>8982</v>
      </c>
      <c r="M251" s="24">
        <v>58882</v>
      </c>
      <c r="N251" s="24"/>
      <c r="O251" s="24">
        <v>58882</v>
      </c>
      <c r="P251" s="9" t="s">
        <v>26</v>
      </c>
      <c r="Q251" s="12" t="s">
        <v>241</v>
      </c>
      <c r="T251" s="8">
        <f t="shared" si="3"/>
        <v>58882</v>
      </c>
    </row>
    <row r="252" spans="2:20" x14ac:dyDescent="0.35">
      <c r="B252" s="15">
        <v>255</v>
      </c>
      <c r="C252" s="16">
        <v>45882</v>
      </c>
      <c r="D252" s="17"/>
      <c r="E252" s="35">
        <f t="shared" ref="E252:E291" si="5">C252</f>
        <v>45882</v>
      </c>
      <c r="F252" s="22">
        <v>45839</v>
      </c>
      <c r="G252" s="11" t="s">
        <v>860</v>
      </c>
      <c r="H252" s="7" t="s">
        <v>145</v>
      </c>
      <c r="I252" s="17" t="s">
        <v>462</v>
      </c>
      <c r="J252" s="10" t="s">
        <v>147</v>
      </c>
      <c r="K252" s="21">
        <v>861416</v>
      </c>
      <c r="L252" s="24"/>
      <c r="M252" s="24">
        <v>861416</v>
      </c>
      <c r="N252" s="24"/>
      <c r="O252" s="24">
        <v>861416</v>
      </c>
      <c r="P252" s="9" t="s">
        <v>41</v>
      </c>
      <c r="Q252" s="12" t="s">
        <v>93</v>
      </c>
      <c r="T252" s="8">
        <f t="shared" si="3"/>
        <v>861416</v>
      </c>
    </row>
    <row r="253" spans="2:20" x14ac:dyDescent="0.35">
      <c r="B253" s="15">
        <v>256</v>
      </c>
      <c r="C253" s="16">
        <v>45902</v>
      </c>
      <c r="D253" s="17"/>
      <c r="E253" s="35">
        <f t="shared" si="5"/>
        <v>45902</v>
      </c>
      <c r="F253" s="23">
        <v>45839</v>
      </c>
      <c r="G253" s="11" t="s">
        <v>860</v>
      </c>
      <c r="H253" s="7" t="s">
        <v>221</v>
      </c>
      <c r="I253" s="17" t="s">
        <v>222</v>
      </c>
      <c r="J253" s="27" t="s">
        <v>223</v>
      </c>
      <c r="K253" s="21">
        <v>45653.837250186501</v>
      </c>
      <c r="L253" s="24">
        <v>8217.6907050335703</v>
      </c>
      <c r="M253" s="24">
        <v>53871.527955220074</v>
      </c>
      <c r="N253" s="24">
        <v>456.53837250186501</v>
      </c>
      <c r="O253" s="24">
        <v>53414.989582718212</v>
      </c>
      <c r="P253" s="9" t="s">
        <v>41</v>
      </c>
      <c r="Q253" s="12" t="s">
        <v>47</v>
      </c>
      <c r="T253" s="8">
        <f t="shared" si="3"/>
        <v>53871.527955220074</v>
      </c>
    </row>
    <row r="254" spans="2:20" x14ac:dyDescent="0.35">
      <c r="B254" s="15">
        <v>257</v>
      </c>
      <c r="C254" s="16">
        <v>45902</v>
      </c>
      <c r="D254" s="17"/>
      <c r="E254" s="35">
        <f t="shared" si="5"/>
        <v>45902</v>
      </c>
      <c r="F254" s="23">
        <v>45839</v>
      </c>
      <c r="G254" s="11" t="s">
        <v>860</v>
      </c>
      <c r="H254" s="7" t="s">
        <v>221</v>
      </c>
      <c r="I254" s="17" t="s">
        <v>224</v>
      </c>
      <c r="J254" s="27" t="s">
        <v>223</v>
      </c>
      <c r="K254" s="21">
        <v>37762.793802451299</v>
      </c>
      <c r="L254" s="24">
        <v>6797.3028844412338</v>
      </c>
      <c r="M254" s="24">
        <v>44560.096686892532</v>
      </c>
      <c r="N254" s="24">
        <v>377.62793802451301</v>
      </c>
      <c r="O254" s="24">
        <v>44182.468748868021</v>
      </c>
      <c r="P254" s="9" t="s">
        <v>41</v>
      </c>
      <c r="Q254" s="12" t="s">
        <v>47</v>
      </c>
      <c r="T254" s="8">
        <f t="shared" si="3"/>
        <v>44560.096686892532</v>
      </c>
    </row>
    <row r="255" spans="2:20" x14ac:dyDescent="0.35">
      <c r="B255" s="15">
        <v>258</v>
      </c>
      <c r="C255" s="16">
        <v>45902</v>
      </c>
      <c r="D255" s="17"/>
      <c r="E255" s="35">
        <f t="shared" si="5"/>
        <v>45902</v>
      </c>
      <c r="F255" s="23">
        <v>45839</v>
      </c>
      <c r="G255" s="11" t="s">
        <v>860</v>
      </c>
      <c r="H255" s="7" t="s">
        <v>221</v>
      </c>
      <c r="I255" s="17" t="s">
        <v>225</v>
      </c>
      <c r="J255" s="27" t="s">
        <v>223</v>
      </c>
      <c r="K255" s="21">
        <v>0</v>
      </c>
      <c r="L255" s="24">
        <v>0</v>
      </c>
      <c r="M255" s="24">
        <v>0</v>
      </c>
      <c r="N255" s="24">
        <v>0</v>
      </c>
      <c r="O255" s="24">
        <v>0</v>
      </c>
      <c r="P255" s="9" t="s">
        <v>41</v>
      </c>
      <c r="Q255" s="12" t="s">
        <v>47</v>
      </c>
      <c r="T255" s="8">
        <f t="shared" si="3"/>
        <v>0</v>
      </c>
    </row>
    <row r="256" spans="2:20" x14ac:dyDescent="0.35">
      <c r="B256" s="15">
        <v>259</v>
      </c>
      <c r="C256" s="16">
        <v>45902</v>
      </c>
      <c r="D256" s="17"/>
      <c r="E256" s="35">
        <f t="shared" si="5"/>
        <v>45902</v>
      </c>
      <c r="F256" s="23">
        <v>45839</v>
      </c>
      <c r="G256" s="11" t="s">
        <v>860</v>
      </c>
      <c r="H256" s="7" t="s">
        <v>221</v>
      </c>
      <c r="I256" s="17" t="s">
        <v>226</v>
      </c>
      <c r="J256" s="27" t="s">
        <v>223</v>
      </c>
      <c r="K256" s="21">
        <v>31720.3565817749</v>
      </c>
      <c r="L256" s="24">
        <v>5709.6641847194815</v>
      </c>
      <c r="M256" s="24">
        <v>37430.020766494381</v>
      </c>
      <c r="N256" s="24">
        <v>317.20356581774899</v>
      </c>
      <c r="O256" s="24">
        <v>37112.817200676633</v>
      </c>
      <c r="P256" s="9" t="s">
        <v>41</v>
      </c>
      <c r="Q256" s="12" t="s">
        <v>47</v>
      </c>
      <c r="T256" s="8">
        <f t="shared" si="3"/>
        <v>37430.020766494381</v>
      </c>
    </row>
    <row r="257" spans="2:20" x14ac:dyDescent="0.35">
      <c r="B257" s="15">
        <v>260</v>
      </c>
      <c r="C257" s="16">
        <v>45902</v>
      </c>
      <c r="D257" s="17"/>
      <c r="E257" s="35">
        <f t="shared" si="5"/>
        <v>45902</v>
      </c>
      <c r="F257" s="23">
        <v>45839</v>
      </c>
      <c r="G257" s="11" t="s">
        <v>860</v>
      </c>
      <c r="H257" s="7" t="s">
        <v>221</v>
      </c>
      <c r="I257" s="17" t="s">
        <v>227</v>
      </c>
      <c r="J257" s="27" t="s">
        <v>223</v>
      </c>
      <c r="K257" s="21">
        <v>20663.691509261778</v>
      </c>
      <c r="L257" s="24">
        <v>3719.4644716671201</v>
      </c>
      <c r="M257" s="24">
        <v>24383.155980928899</v>
      </c>
      <c r="N257" s="24">
        <v>206.63691509261778</v>
      </c>
      <c r="O257" s="24">
        <v>24176.519065836281</v>
      </c>
      <c r="P257" s="9" t="s">
        <v>41</v>
      </c>
      <c r="Q257" s="12" t="s">
        <v>47</v>
      </c>
      <c r="T257" s="8">
        <f t="shared" si="3"/>
        <v>24383.155980928899</v>
      </c>
    </row>
    <row r="258" spans="2:20" x14ac:dyDescent="0.35">
      <c r="B258" s="15">
        <v>261</v>
      </c>
      <c r="C258" s="16">
        <v>45902</v>
      </c>
      <c r="D258" s="17"/>
      <c r="E258" s="35">
        <f t="shared" si="5"/>
        <v>45902</v>
      </c>
      <c r="F258" s="23">
        <v>45839</v>
      </c>
      <c r="G258" s="11" t="s">
        <v>860</v>
      </c>
      <c r="H258" s="7" t="s">
        <v>221</v>
      </c>
      <c r="I258" s="17" t="s">
        <v>228</v>
      </c>
      <c r="J258" s="10" t="s">
        <v>229</v>
      </c>
      <c r="K258" s="21">
        <v>120782.40832521571</v>
      </c>
      <c r="L258" s="24">
        <v>21740.833498538828</v>
      </c>
      <c r="M258" s="24">
        <v>142523.24182375454</v>
      </c>
      <c r="N258" s="24">
        <v>1207.8240832521572</v>
      </c>
      <c r="O258" s="24">
        <v>141315.41774050237</v>
      </c>
      <c r="P258" s="9" t="s">
        <v>41</v>
      </c>
      <c r="Q258" s="12" t="s">
        <v>93</v>
      </c>
      <c r="T258" s="8">
        <f t="shared" si="3"/>
        <v>142523.24182375454</v>
      </c>
    </row>
    <row r="259" spans="2:20" x14ac:dyDescent="0.35">
      <c r="B259" s="15">
        <v>262</v>
      </c>
      <c r="C259" s="16">
        <v>45902</v>
      </c>
      <c r="D259" s="17"/>
      <c r="E259" s="35">
        <f t="shared" si="5"/>
        <v>45902</v>
      </c>
      <c r="F259" s="23">
        <v>45839</v>
      </c>
      <c r="G259" s="11" t="s">
        <v>860</v>
      </c>
      <c r="H259" s="7" t="s">
        <v>221</v>
      </c>
      <c r="I259" s="17" t="s">
        <v>230</v>
      </c>
      <c r="J259" s="10" t="s">
        <v>231</v>
      </c>
      <c r="K259" s="21">
        <v>133604.78398368691</v>
      </c>
      <c r="L259" s="24">
        <v>24048.861117063643</v>
      </c>
      <c r="M259" s="24">
        <v>157653.64510075055</v>
      </c>
      <c r="N259" s="24">
        <v>1336.0478398368691</v>
      </c>
      <c r="O259" s="24">
        <v>156317.5972609137</v>
      </c>
      <c r="P259" s="9" t="s">
        <v>41</v>
      </c>
      <c r="Q259" s="12" t="s">
        <v>27</v>
      </c>
      <c r="T259" s="8">
        <f t="shared" ref="T259:T322" si="6">N259+O259</f>
        <v>157653.64510075055</v>
      </c>
    </row>
    <row r="260" spans="2:20" ht="15.65" customHeight="1" x14ac:dyDescent="0.35">
      <c r="B260" s="15">
        <v>263</v>
      </c>
      <c r="C260" s="16">
        <v>45902</v>
      </c>
      <c r="D260" s="17"/>
      <c r="E260" s="35">
        <f t="shared" si="5"/>
        <v>45902</v>
      </c>
      <c r="F260" s="23">
        <v>45839</v>
      </c>
      <c r="G260" s="11" t="s">
        <v>860</v>
      </c>
      <c r="H260" s="7" t="s">
        <v>221</v>
      </c>
      <c r="I260" s="17" t="s">
        <v>232</v>
      </c>
      <c r="J260" s="10" t="s">
        <v>233</v>
      </c>
      <c r="K260" s="21">
        <v>16426.636456769396</v>
      </c>
      <c r="L260" s="24">
        <v>2956.7945622184911</v>
      </c>
      <c r="M260" s="24">
        <v>19383.431018987889</v>
      </c>
      <c r="N260" s="24">
        <v>164.26636456769396</v>
      </c>
      <c r="O260" s="24">
        <v>19219.164654420194</v>
      </c>
      <c r="P260" s="9" t="s">
        <v>41</v>
      </c>
      <c r="Q260" s="12" t="s">
        <v>20</v>
      </c>
      <c r="T260" s="8">
        <f t="shared" si="6"/>
        <v>19383.431018987889</v>
      </c>
    </row>
    <row r="261" spans="2:20" ht="19.75" customHeight="1" x14ac:dyDescent="0.35">
      <c r="B261" s="15">
        <v>264</v>
      </c>
      <c r="C261" s="16">
        <v>45902</v>
      </c>
      <c r="D261" s="17"/>
      <c r="E261" s="35">
        <f t="shared" si="5"/>
        <v>45902</v>
      </c>
      <c r="F261" s="23">
        <v>45839</v>
      </c>
      <c r="G261" s="11" t="s">
        <v>860</v>
      </c>
      <c r="H261" s="7" t="s">
        <v>221</v>
      </c>
      <c r="I261" s="17" t="s">
        <v>234</v>
      </c>
      <c r="J261" s="10" t="s">
        <v>233</v>
      </c>
      <c r="K261" s="21">
        <v>12839.284857452743</v>
      </c>
      <c r="L261" s="24">
        <v>2311.0712743414938</v>
      </c>
      <c r="M261" s="24">
        <v>15150.356131794237</v>
      </c>
      <c r="N261" s="24">
        <v>128.39284857452745</v>
      </c>
      <c r="O261" s="24">
        <v>15021.963283219709</v>
      </c>
      <c r="P261" s="9" t="s">
        <v>41</v>
      </c>
      <c r="Q261" s="12" t="s">
        <v>20</v>
      </c>
      <c r="T261" s="8">
        <f t="shared" si="6"/>
        <v>15150.356131794237</v>
      </c>
    </row>
    <row r="262" spans="2:20" x14ac:dyDescent="0.35">
      <c r="B262" s="15">
        <v>265</v>
      </c>
      <c r="C262" s="16">
        <v>45902</v>
      </c>
      <c r="D262" s="17"/>
      <c r="E262" s="35">
        <f t="shared" si="5"/>
        <v>45902</v>
      </c>
      <c r="F262" s="23">
        <v>45839</v>
      </c>
      <c r="G262" s="11" t="s">
        <v>860</v>
      </c>
      <c r="H262" s="7" t="s">
        <v>221</v>
      </c>
      <c r="I262" s="17" t="s">
        <v>235</v>
      </c>
      <c r="J262" s="10" t="s">
        <v>236</v>
      </c>
      <c r="K262" s="21">
        <v>15209.824483904737</v>
      </c>
      <c r="L262" s="24">
        <v>2737.7684071028525</v>
      </c>
      <c r="M262" s="24">
        <v>17947.592891007589</v>
      </c>
      <c r="N262" s="24">
        <v>152.09824483904737</v>
      </c>
      <c r="O262" s="24">
        <v>17795.494646168543</v>
      </c>
      <c r="P262" s="9" t="s">
        <v>41</v>
      </c>
      <c r="Q262" s="12" t="s">
        <v>67</v>
      </c>
      <c r="T262" s="8">
        <f t="shared" si="6"/>
        <v>17947.592891007589</v>
      </c>
    </row>
    <row r="263" spans="2:20" x14ac:dyDescent="0.35">
      <c r="B263" s="15">
        <v>266</v>
      </c>
      <c r="C263" s="16">
        <v>45902</v>
      </c>
      <c r="D263" s="17"/>
      <c r="E263" s="35">
        <f t="shared" si="5"/>
        <v>45902</v>
      </c>
      <c r="F263" s="23">
        <v>45839</v>
      </c>
      <c r="G263" s="11" t="s">
        <v>860</v>
      </c>
      <c r="H263" s="7" t="s">
        <v>221</v>
      </c>
      <c r="I263" s="17" t="s">
        <v>237</v>
      </c>
      <c r="J263" s="10" t="s">
        <v>236</v>
      </c>
      <c r="K263" s="21">
        <v>394079.93827975472</v>
      </c>
      <c r="L263" s="24">
        <v>70934.38889035584</v>
      </c>
      <c r="M263" s="24">
        <v>465014.32717011054</v>
      </c>
      <c r="N263" s="24">
        <v>3940.7993827975474</v>
      </c>
      <c r="O263" s="24">
        <v>461073.52778731298</v>
      </c>
      <c r="P263" s="9" t="s">
        <v>41</v>
      </c>
      <c r="Q263" s="12" t="s">
        <v>67</v>
      </c>
      <c r="T263" s="8">
        <f t="shared" si="6"/>
        <v>465014.32717011054</v>
      </c>
    </row>
    <row r="264" spans="2:20" x14ac:dyDescent="0.35">
      <c r="B264" s="15">
        <v>267</v>
      </c>
      <c r="C264" s="16">
        <v>45902</v>
      </c>
      <c r="D264" s="17"/>
      <c r="E264" s="35">
        <f t="shared" si="5"/>
        <v>45902</v>
      </c>
      <c r="F264" s="23">
        <v>45839</v>
      </c>
      <c r="G264" s="11" t="s">
        <v>860</v>
      </c>
      <c r="H264" s="7" t="s">
        <v>221</v>
      </c>
      <c r="I264" s="17" t="s">
        <v>238</v>
      </c>
      <c r="J264" s="10" t="s">
        <v>236</v>
      </c>
      <c r="K264" s="21">
        <v>13007.076139654284</v>
      </c>
      <c r="L264" s="24">
        <v>2341.2737051377712</v>
      </c>
      <c r="M264" s="24">
        <v>15348.349844792056</v>
      </c>
      <c r="N264" s="24">
        <v>130.07076139654285</v>
      </c>
      <c r="O264" s="24">
        <v>15218.279083395513</v>
      </c>
      <c r="P264" s="9" t="s">
        <v>41</v>
      </c>
      <c r="Q264" s="12" t="s">
        <v>67</v>
      </c>
      <c r="T264" s="8">
        <f t="shared" si="6"/>
        <v>15348.349844792056</v>
      </c>
    </row>
    <row r="265" spans="2:20" x14ac:dyDescent="0.35">
      <c r="B265" s="15">
        <v>268</v>
      </c>
      <c r="C265" s="16">
        <v>45902</v>
      </c>
      <c r="D265" s="17"/>
      <c r="E265" s="35">
        <f t="shared" si="5"/>
        <v>45902</v>
      </c>
      <c r="F265" s="23">
        <v>45839</v>
      </c>
      <c r="G265" s="11" t="s">
        <v>860</v>
      </c>
      <c r="H265" s="7" t="s">
        <v>221</v>
      </c>
      <c r="I265" s="17" t="s">
        <v>239</v>
      </c>
      <c r="J265" s="10" t="s">
        <v>240</v>
      </c>
      <c r="K265" s="21">
        <v>12356.722332671568</v>
      </c>
      <c r="L265" s="24">
        <v>2224.2100198808821</v>
      </c>
      <c r="M265" s="24">
        <v>14580.932352552451</v>
      </c>
      <c r="N265" s="24">
        <v>123.56722332671569</v>
      </c>
      <c r="O265" s="24">
        <v>14457.365129225735</v>
      </c>
      <c r="P265" s="9" t="s">
        <v>41</v>
      </c>
      <c r="Q265" s="12" t="s">
        <v>241</v>
      </c>
      <c r="T265" s="8">
        <f t="shared" si="6"/>
        <v>14580.932352552451</v>
      </c>
    </row>
    <row r="266" spans="2:20" x14ac:dyDescent="0.35">
      <c r="B266" s="15">
        <v>269</v>
      </c>
      <c r="C266" s="16">
        <v>45902</v>
      </c>
      <c r="D266" s="17"/>
      <c r="E266" s="35">
        <f t="shared" si="5"/>
        <v>45902</v>
      </c>
      <c r="F266" s="23">
        <v>45839</v>
      </c>
      <c r="G266" s="11" t="s">
        <v>860</v>
      </c>
      <c r="H266" s="7" t="s">
        <v>221</v>
      </c>
      <c r="I266" s="17" t="s">
        <v>242</v>
      </c>
      <c r="J266" s="10" t="s">
        <v>236</v>
      </c>
      <c r="K266" s="21">
        <v>23880.991792405264</v>
      </c>
      <c r="L266" s="24">
        <v>4298.5785226329472</v>
      </c>
      <c r="M266" s="24">
        <v>28179.570315038211</v>
      </c>
      <c r="N266" s="24">
        <v>238.80991792405266</v>
      </c>
      <c r="O266" s="24">
        <v>27940.760397114158</v>
      </c>
      <c r="P266" s="9" t="s">
        <v>41</v>
      </c>
      <c r="Q266" s="12" t="s">
        <v>67</v>
      </c>
      <c r="T266" s="8">
        <f t="shared" si="6"/>
        <v>28179.570315038211</v>
      </c>
    </row>
    <row r="267" spans="2:20" x14ac:dyDescent="0.35">
      <c r="B267" s="15">
        <v>270</v>
      </c>
      <c r="C267" s="16">
        <v>45902</v>
      </c>
      <c r="D267" s="17"/>
      <c r="E267" s="35">
        <f t="shared" si="5"/>
        <v>45902</v>
      </c>
      <c r="F267" s="23">
        <v>45839</v>
      </c>
      <c r="G267" s="11" t="s">
        <v>860</v>
      </c>
      <c r="H267" s="7" t="s">
        <v>221</v>
      </c>
      <c r="I267" s="17" t="s">
        <v>243</v>
      </c>
      <c r="J267" s="27" t="s">
        <v>223</v>
      </c>
      <c r="K267" s="21">
        <v>52028.304558617136</v>
      </c>
      <c r="L267" s="24">
        <v>9365.0948205510849</v>
      </c>
      <c r="M267" s="24">
        <v>61393.399379168222</v>
      </c>
      <c r="N267" s="24">
        <v>520.2830455861714</v>
      </c>
      <c r="O267" s="24">
        <v>60873.116333582053</v>
      </c>
      <c r="P267" s="9" t="s">
        <v>41</v>
      </c>
      <c r="Q267" s="12" t="s">
        <v>47</v>
      </c>
      <c r="T267" s="8">
        <f t="shared" si="6"/>
        <v>61393.399379168222</v>
      </c>
    </row>
    <row r="268" spans="2:20" x14ac:dyDescent="0.35">
      <c r="B268" s="15">
        <v>271</v>
      </c>
      <c r="C268" s="16">
        <v>45905</v>
      </c>
      <c r="D268" s="17"/>
      <c r="E268" s="35">
        <f t="shared" si="5"/>
        <v>45905</v>
      </c>
      <c r="F268" s="23">
        <v>45839</v>
      </c>
      <c r="G268" s="11" t="s">
        <v>860</v>
      </c>
      <c r="H268" s="7" t="s">
        <v>69</v>
      </c>
      <c r="I268" s="17" t="s">
        <v>435</v>
      </c>
      <c r="J268" s="18" t="s">
        <v>71</v>
      </c>
      <c r="K268" s="21">
        <v>1651547.58</v>
      </c>
      <c r="L268" s="24">
        <v>297278.56439999997</v>
      </c>
      <c r="M268" s="24">
        <v>1948826.1444000001</v>
      </c>
      <c r="N268" s="24">
        <v>33030.9516</v>
      </c>
      <c r="O268" s="24">
        <v>1915795.1928000001</v>
      </c>
      <c r="P268" s="9" t="s">
        <v>41</v>
      </c>
      <c r="Q268" s="20" t="s">
        <v>31</v>
      </c>
      <c r="T268" s="8">
        <f t="shared" si="6"/>
        <v>1948826.1444000001</v>
      </c>
    </row>
    <row r="269" spans="2:20" x14ac:dyDescent="0.35">
      <c r="B269" s="15">
        <v>272</v>
      </c>
      <c r="C269" s="16">
        <v>45905</v>
      </c>
      <c r="D269" s="17"/>
      <c r="E269" s="35">
        <f t="shared" si="5"/>
        <v>45905</v>
      </c>
      <c r="F269" s="23">
        <v>45839</v>
      </c>
      <c r="G269" s="11" t="s">
        <v>860</v>
      </c>
      <c r="H269" s="7" t="s">
        <v>69</v>
      </c>
      <c r="I269" s="17" t="s">
        <v>433</v>
      </c>
      <c r="J269" s="18" t="s">
        <v>71</v>
      </c>
      <c r="K269" s="21">
        <v>43410</v>
      </c>
      <c r="L269" s="24">
        <v>7813.7999999999993</v>
      </c>
      <c r="M269" s="24">
        <v>51223.8</v>
      </c>
      <c r="N269" s="24">
        <v>868.2</v>
      </c>
      <c r="O269" s="24">
        <v>50355.600000000006</v>
      </c>
      <c r="P269" s="9" t="s">
        <v>41</v>
      </c>
      <c r="Q269" s="20" t="s">
        <v>31</v>
      </c>
      <c r="T269" s="8">
        <f t="shared" si="6"/>
        <v>51223.8</v>
      </c>
    </row>
    <row r="270" spans="2:20" x14ac:dyDescent="0.35">
      <c r="B270" s="15">
        <v>273</v>
      </c>
      <c r="C270" s="16">
        <v>45905</v>
      </c>
      <c r="D270" s="17"/>
      <c r="E270" s="35">
        <f t="shared" si="5"/>
        <v>45905</v>
      </c>
      <c r="F270" s="23">
        <v>45839</v>
      </c>
      <c r="G270" s="11" t="s">
        <v>860</v>
      </c>
      <c r="H270" s="7" t="s">
        <v>69</v>
      </c>
      <c r="I270" s="17" t="s">
        <v>434</v>
      </c>
      <c r="J270" s="18" t="s">
        <v>71</v>
      </c>
      <c r="K270" s="21">
        <v>161642.94</v>
      </c>
      <c r="L270" s="24">
        <v>29095.729199999998</v>
      </c>
      <c r="M270" s="24">
        <v>190738.6692</v>
      </c>
      <c r="N270" s="24">
        <v>3232.8588</v>
      </c>
      <c r="O270" s="24">
        <v>187505.81040000002</v>
      </c>
      <c r="P270" s="9" t="s">
        <v>41</v>
      </c>
      <c r="Q270" s="20" t="s">
        <v>31</v>
      </c>
      <c r="T270" s="8">
        <f t="shared" si="6"/>
        <v>190738.6692</v>
      </c>
    </row>
    <row r="271" spans="2:20" x14ac:dyDescent="0.35">
      <c r="B271" s="15">
        <v>274</v>
      </c>
      <c r="C271" s="16">
        <v>45904</v>
      </c>
      <c r="D271" s="17"/>
      <c r="E271" s="35">
        <f t="shared" si="5"/>
        <v>45904</v>
      </c>
      <c r="F271" s="23">
        <v>45901</v>
      </c>
      <c r="G271" s="11" t="s">
        <v>860</v>
      </c>
      <c r="H271" s="7" t="s">
        <v>138</v>
      </c>
      <c r="I271" s="17" t="s">
        <v>463</v>
      </c>
      <c r="J271" s="27" t="s">
        <v>464</v>
      </c>
      <c r="K271" s="21">
        <v>46000</v>
      </c>
      <c r="L271" s="24">
        <v>8280</v>
      </c>
      <c r="M271" s="24">
        <v>54280</v>
      </c>
      <c r="N271" s="24">
        <v>460</v>
      </c>
      <c r="O271" s="24">
        <v>53820</v>
      </c>
      <c r="P271" s="9" t="s">
        <v>26</v>
      </c>
      <c r="Q271" s="12" t="s">
        <v>27</v>
      </c>
      <c r="T271" s="8">
        <f t="shared" si="6"/>
        <v>54280</v>
      </c>
    </row>
    <row r="272" spans="2:20" x14ac:dyDescent="0.35">
      <c r="B272" s="15">
        <v>275</v>
      </c>
      <c r="C272" s="16">
        <v>45904</v>
      </c>
      <c r="D272" s="17"/>
      <c r="E272" s="35">
        <f t="shared" si="5"/>
        <v>45904</v>
      </c>
      <c r="F272" s="23">
        <v>45901</v>
      </c>
      <c r="G272" s="11" t="s">
        <v>860</v>
      </c>
      <c r="H272" s="11" t="s">
        <v>465</v>
      </c>
      <c r="I272" s="17" t="s">
        <v>466</v>
      </c>
      <c r="J272" s="27" t="s">
        <v>92</v>
      </c>
      <c r="K272" s="21">
        <v>20060</v>
      </c>
      <c r="L272" s="24">
        <v>3610.7999999999997</v>
      </c>
      <c r="M272" s="24">
        <v>23670.799999999999</v>
      </c>
      <c r="N272" s="24"/>
      <c r="O272" s="24">
        <v>23670.799999999999</v>
      </c>
      <c r="P272" s="9" t="s">
        <v>26</v>
      </c>
      <c r="Q272" s="12" t="s">
        <v>241</v>
      </c>
      <c r="T272" s="8">
        <f t="shared" si="6"/>
        <v>23670.799999999999</v>
      </c>
    </row>
    <row r="273" spans="2:20" x14ac:dyDescent="0.35">
      <c r="B273" s="15">
        <v>276</v>
      </c>
      <c r="C273" s="16">
        <v>45904</v>
      </c>
      <c r="D273" s="17"/>
      <c r="E273" s="35">
        <f t="shared" si="5"/>
        <v>45904</v>
      </c>
      <c r="F273" s="23">
        <v>45901</v>
      </c>
      <c r="G273" s="11" t="s">
        <v>860</v>
      </c>
      <c r="H273" s="7" t="s">
        <v>80</v>
      </c>
      <c r="I273" s="17" t="s">
        <v>467</v>
      </c>
      <c r="J273" s="27" t="s">
        <v>85</v>
      </c>
      <c r="K273" s="21">
        <v>505000</v>
      </c>
      <c r="L273" s="24">
        <v>90900</v>
      </c>
      <c r="M273" s="24">
        <v>595900</v>
      </c>
      <c r="N273" s="24"/>
      <c r="O273" s="24">
        <v>252500</v>
      </c>
      <c r="P273" s="18" t="s">
        <v>19</v>
      </c>
      <c r="Q273" s="12" t="s">
        <v>27</v>
      </c>
      <c r="T273" s="8">
        <f t="shared" si="6"/>
        <v>252500</v>
      </c>
    </row>
    <row r="274" spans="2:20" x14ac:dyDescent="0.35">
      <c r="B274" s="15">
        <v>277</v>
      </c>
      <c r="C274" s="16">
        <v>45904</v>
      </c>
      <c r="D274" s="17"/>
      <c r="E274" s="35">
        <f t="shared" si="5"/>
        <v>45904</v>
      </c>
      <c r="F274" s="23">
        <v>45901</v>
      </c>
      <c r="G274" s="11" t="s">
        <v>860</v>
      </c>
      <c r="H274" s="11" t="s">
        <v>185</v>
      </c>
      <c r="I274" s="17" t="s">
        <v>468</v>
      </c>
      <c r="J274" s="18" t="s">
        <v>187</v>
      </c>
      <c r="K274" s="21">
        <v>605530</v>
      </c>
      <c r="L274" s="24">
        <v>108995.4</v>
      </c>
      <c r="M274" s="24">
        <v>714525.4</v>
      </c>
      <c r="N274" s="24">
        <v>6055</v>
      </c>
      <c r="O274" s="24">
        <v>212259</v>
      </c>
      <c r="P274" s="18" t="s">
        <v>19</v>
      </c>
      <c r="Q274" s="20" t="s">
        <v>47</v>
      </c>
      <c r="T274" s="8">
        <f t="shared" si="6"/>
        <v>218314</v>
      </c>
    </row>
    <row r="275" spans="2:20" x14ac:dyDescent="0.35">
      <c r="B275" s="15">
        <v>278</v>
      </c>
      <c r="C275" s="16">
        <v>45904</v>
      </c>
      <c r="D275" s="17"/>
      <c r="E275" s="35">
        <f t="shared" si="5"/>
        <v>45904</v>
      </c>
      <c r="F275" s="23">
        <v>45901</v>
      </c>
      <c r="G275" s="11" t="s">
        <v>860</v>
      </c>
      <c r="H275" s="11" t="s">
        <v>185</v>
      </c>
      <c r="I275" s="17" t="s">
        <v>469</v>
      </c>
      <c r="J275" s="27" t="s">
        <v>299</v>
      </c>
      <c r="K275" s="21">
        <v>111440</v>
      </c>
      <c r="L275" s="24">
        <v>20059.2</v>
      </c>
      <c r="M275" s="24">
        <v>131499.20000000001</v>
      </c>
      <c r="N275" s="24">
        <v>1114</v>
      </c>
      <c r="O275" s="24">
        <v>75779</v>
      </c>
      <c r="P275" s="9" t="s">
        <v>26</v>
      </c>
      <c r="Q275" s="37" t="s">
        <v>47</v>
      </c>
      <c r="T275" s="8">
        <f t="shared" si="6"/>
        <v>76893</v>
      </c>
    </row>
    <row r="276" spans="2:20" x14ac:dyDescent="0.35">
      <c r="B276" s="15">
        <v>279</v>
      </c>
      <c r="C276" s="16">
        <v>45905</v>
      </c>
      <c r="D276" s="17"/>
      <c r="E276" s="35">
        <f t="shared" si="5"/>
        <v>45905</v>
      </c>
      <c r="F276" s="23">
        <v>45901</v>
      </c>
      <c r="G276" s="11" t="s">
        <v>860</v>
      </c>
      <c r="H276" s="7" t="s">
        <v>470</v>
      </c>
      <c r="I276" s="17" t="s">
        <v>471</v>
      </c>
      <c r="J276" s="10" t="s">
        <v>110</v>
      </c>
      <c r="K276" s="21">
        <v>89888</v>
      </c>
      <c r="L276" s="24">
        <v>16179.84</v>
      </c>
      <c r="M276" s="24">
        <v>106067.84</v>
      </c>
      <c r="N276" s="24">
        <v>8988.7999999999993</v>
      </c>
      <c r="O276" s="24">
        <v>97079.039999999994</v>
      </c>
      <c r="P276" s="9" t="s">
        <v>41</v>
      </c>
      <c r="Q276" s="20" t="s">
        <v>858</v>
      </c>
      <c r="T276" s="8">
        <f t="shared" si="6"/>
        <v>106067.84</v>
      </c>
    </row>
    <row r="277" spans="2:20" x14ac:dyDescent="0.35">
      <c r="B277" s="15">
        <v>280</v>
      </c>
      <c r="C277" s="16">
        <v>45905</v>
      </c>
      <c r="D277" s="17"/>
      <c r="E277" s="35">
        <f t="shared" si="5"/>
        <v>45905</v>
      </c>
      <c r="F277" s="23">
        <v>45901</v>
      </c>
      <c r="G277" s="11" t="s">
        <v>860</v>
      </c>
      <c r="H277" s="7" t="s">
        <v>120</v>
      </c>
      <c r="I277" s="17" t="s">
        <v>472</v>
      </c>
      <c r="J277" s="10" t="s">
        <v>92</v>
      </c>
      <c r="K277" s="21">
        <v>8400</v>
      </c>
      <c r="L277" s="24">
        <v>1512</v>
      </c>
      <c r="M277" s="24">
        <v>9912</v>
      </c>
      <c r="N277" s="24"/>
      <c r="O277" s="24">
        <v>9912</v>
      </c>
      <c r="P277" s="9" t="s">
        <v>26</v>
      </c>
      <c r="Q277" s="12" t="s">
        <v>93</v>
      </c>
      <c r="T277" s="8">
        <f t="shared" si="6"/>
        <v>9912</v>
      </c>
    </row>
    <row r="278" spans="2:20" x14ac:dyDescent="0.35">
      <c r="B278" s="15">
        <v>281</v>
      </c>
      <c r="C278" s="16">
        <v>45905</v>
      </c>
      <c r="D278" s="17"/>
      <c r="E278" s="35">
        <f t="shared" si="5"/>
        <v>45905</v>
      </c>
      <c r="F278" s="23">
        <v>45839</v>
      </c>
      <c r="G278" s="11" t="s">
        <v>860</v>
      </c>
      <c r="H278" s="7" t="s">
        <v>152</v>
      </c>
      <c r="I278" s="17" t="s">
        <v>473</v>
      </c>
      <c r="J278" s="18" t="s">
        <v>154</v>
      </c>
      <c r="K278" s="21">
        <v>425350</v>
      </c>
      <c r="L278" s="24">
        <v>76563</v>
      </c>
      <c r="M278" s="24">
        <v>501913</v>
      </c>
      <c r="N278" s="24">
        <v>4253.5</v>
      </c>
      <c r="O278" s="24">
        <v>497659.5</v>
      </c>
      <c r="P278" s="9" t="s">
        <v>41</v>
      </c>
      <c r="Q278" s="20" t="s">
        <v>155</v>
      </c>
      <c r="T278" s="8">
        <f t="shared" si="6"/>
        <v>501913</v>
      </c>
    </row>
    <row r="279" spans="2:20" x14ac:dyDescent="0.35">
      <c r="B279" s="15">
        <v>282</v>
      </c>
      <c r="C279" s="16">
        <v>45905</v>
      </c>
      <c r="D279" s="17"/>
      <c r="E279" s="35">
        <f t="shared" si="5"/>
        <v>45905</v>
      </c>
      <c r="F279" s="23">
        <v>45901</v>
      </c>
      <c r="G279" s="11" t="s">
        <v>860</v>
      </c>
      <c r="H279" s="11" t="s">
        <v>474</v>
      </c>
      <c r="I279" s="17" t="s">
        <v>475</v>
      </c>
      <c r="J279" s="27" t="s">
        <v>299</v>
      </c>
      <c r="K279" s="21">
        <v>4350</v>
      </c>
      <c r="L279" s="24">
        <v>783</v>
      </c>
      <c r="M279" s="24">
        <v>5133</v>
      </c>
      <c r="N279" s="24"/>
      <c r="O279" s="24">
        <v>5133</v>
      </c>
      <c r="P279" s="9" t="s">
        <v>26</v>
      </c>
      <c r="Q279" s="12" t="s">
        <v>241</v>
      </c>
      <c r="T279" s="8">
        <f t="shared" si="6"/>
        <v>5133</v>
      </c>
    </row>
    <row r="280" spans="2:20" x14ac:dyDescent="0.35">
      <c r="B280" s="15">
        <v>283</v>
      </c>
      <c r="C280" s="16">
        <v>45913</v>
      </c>
      <c r="D280" s="17"/>
      <c r="E280" s="35">
        <f t="shared" si="5"/>
        <v>45913</v>
      </c>
      <c r="F280" s="23">
        <v>45901</v>
      </c>
      <c r="G280" s="11" t="s">
        <v>860</v>
      </c>
      <c r="H280" s="11" t="s">
        <v>476</v>
      </c>
      <c r="I280" s="17" t="s">
        <v>477</v>
      </c>
      <c r="J280" s="27" t="s">
        <v>299</v>
      </c>
      <c r="K280" s="21">
        <v>23560</v>
      </c>
      <c r="L280" s="24">
        <v>2827.2</v>
      </c>
      <c r="M280" s="24">
        <v>26387.200000000001</v>
      </c>
      <c r="N280" s="24"/>
      <c r="O280" s="24">
        <v>26387.200000000001</v>
      </c>
      <c r="P280" s="9" t="s">
        <v>26</v>
      </c>
      <c r="Q280" s="37" t="s">
        <v>47</v>
      </c>
      <c r="T280" s="8">
        <f t="shared" si="6"/>
        <v>26387.200000000001</v>
      </c>
    </row>
    <row r="281" spans="2:20" x14ac:dyDescent="0.35">
      <c r="B281" s="15">
        <v>284</v>
      </c>
      <c r="C281" s="16">
        <v>45911</v>
      </c>
      <c r="D281" s="17"/>
      <c r="E281" s="35">
        <f t="shared" si="5"/>
        <v>45911</v>
      </c>
      <c r="F281" s="23">
        <v>45870</v>
      </c>
      <c r="G281" s="11" t="s">
        <v>860</v>
      </c>
      <c r="H281" s="7" t="s">
        <v>69</v>
      </c>
      <c r="I281" s="17" t="s">
        <v>435</v>
      </c>
      <c r="J281" s="18" t="s">
        <v>71</v>
      </c>
      <c r="K281" s="21">
        <v>1652811.57</v>
      </c>
      <c r="L281" s="24">
        <v>297506.08260000002</v>
      </c>
      <c r="M281" s="24">
        <v>1950317.6526000001</v>
      </c>
      <c r="N281" s="24">
        <v>33056.231400000004</v>
      </c>
      <c r="O281" s="24">
        <v>1917261.4212000002</v>
      </c>
      <c r="P281" s="9" t="s">
        <v>41</v>
      </c>
      <c r="Q281" s="20" t="s">
        <v>31</v>
      </c>
      <c r="T281" s="8">
        <f t="shared" si="6"/>
        <v>1950317.6526000001</v>
      </c>
    </row>
    <row r="282" spans="2:20" x14ac:dyDescent="0.35">
      <c r="B282" s="15">
        <v>285</v>
      </c>
      <c r="C282" s="16">
        <v>45911</v>
      </c>
      <c r="D282" s="17"/>
      <c r="E282" s="35">
        <f t="shared" si="5"/>
        <v>45911</v>
      </c>
      <c r="F282" s="23">
        <v>45870</v>
      </c>
      <c r="G282" s="11" t="s">
        <v>860</v>
      </c>
      <c r="H282" s="7" t="s">
        <v>69</v>
      </c>
      <c r="I282" s="17" t="s">
        <v>433</v>
      </c>
      <c r="J282" s="18" t="s">
        <v>71</v>
      </c>
      <c r="K282" s="21">
        <v>43410.89</v>
      </c>
      <c r="L282" s="24">
        <v>7813.9601999999995</v>
      </c>
      <c r="M282" s="24">
        <v>51224.850200000001</v>
      </c>
      <c r="N282" s="24">
        <v>868.21780000000001</v>
      </c>
      <c r="O282" s="24">
        <v>50356.632400000002</v>
      </c>
      <c r="P282" s="9" t="s">
        <v>41</v>
      </c>
      <c r="Q282" s="20" t="s">
        <v>31</v>
      </c>
      <c r="T282" s="8">
        <f t="shared" si="6"/>
        <v>51224.850200000001</v>
      </c>
    </row>
    <row r="283" spans="2:20" x14ac:dyDescent="0.35">
      <c r="B283" s="15">
        <v>286</v>
      </c>
      <c r="C283" s="16">
        <v>45911</v>
      </c>
      <c r="D283" s="17"/>
      <c r="E283" s="35">
        <f t="shared" si="5"/>
        <v>45911</v>
      </c>
      <c r="F283" s="23">
        <v>45870</v>
      </c>
      <c r="G283" s="11" t="s">
        <v>860</v>
      </c>
      <c r="H283" s="7" t="s">
        <v>69</v>
      </c>
      <c r="I283" s="17" t="s">
        <v>434</v>
      </c>
      <c r="J283" s="18" t="s">
        <v>71</v>
      </c>
      <c r="K283" s="21">
        <v>161642.94</v>
      </c>
      <c r="L283" s="24">
        <v>29095.729199999998</v>
      </c>
      <c r="M283" s="24">
        <v>190738.6692</v>
      </c>
      <c r="N283" s="24">
        <v>3232.8588</v>
      </c>
      <c r="O283" s="24">
        <v>187505.81040000002</v>
      </c>
      <c r="P283" s="9" t="s">
        <v>41</v>
      </c>
      <c r="Q283" s="20" t="s">
        <v>31</v>
      </c>
      <c r="T283" s="8">
        <f t="shared" si="6"/>
        <v>190738.6692</v>
      </c>
    </row>
    <row r="284" spans="2:20" x14ac:dyDescent="0.35">
      <c r="B284" s="15">
        <v>287</v>
      </c>
      <c r="C284" s="16">
        <v>45906</v>
      </c>
      <c r="D284" s="17"/>
      <c r="E284" s="35">
        <f t="shared" si="5"/>
        <v>45906</v>
      </c>
      <c r="F284" s="23">
        <v>45901</v>
      </c>
      <c r="G284" s="11" t="s">
        <v>860</v>
      </c>
      <c r="H284" s="11" t="s">
        <v>352</v>
      </c>
      <c r="I284" s="17" t="s">
        <v>353</v>
      </c>
      <c r="J284" s="27" t="s">
        <v>40</v>
      </c>
      <c r="K284" s="21">
        <v>8980</v>
      </c>
      <c r="L284" s="24">
        <v>1616.3999999999999</v>
      </c>
      <c r="M284" s="24">
        <v>10596.4</v>
      </c>
      <c r="N284" s="24">
        <v>179.6</v>
      </c>
      <c r="O284" s="24">
        <v>10416.799999999999</v>
      </c>
      <c r="P284" s="9" t="s">
        <v>41</v>
      </c>
      <c r="Q284" s="37" t="s">
        <v>27</v>
      </c>
      <c r="T284" s="8">
        <f t="shared" si="6"/>
        <v>10596.4</v>
      </c>
    </row>
    <row r="285" spans="2:20" x14ac:dyDescent="0.35">
      <c r="B285" s="15">
        <v>288</v>
      </c>
      <c r="C285" s="16">
        <v>45906</v>
      </c>
      <c r="D285" s="17"/>
      <c r="E285" s="35">
        <f t="shared" si="5"/>
        <v>45906</v>
      </c>
      <c r="F285" s="23">
        <v>45870</v>
      </c>
      <c r="G285" s="11" t="s">
        <v>860</v>
      </c>
      <c r="H285" s="7" t="s">
        <v>49</v>
      </c>
      <c r="I285" s="17" t="s">
        <v>478</v>
      </c>
      <c r="J285" s="10" t="s">
        <v>51</v>
      </c>
      <c r="K285" s="21">
        <v>7500</v>
      </c>
      <c r="L285" s="24">
        <v>1350</v>
      </c>
      <c r="M285" s="24">
        <v>8850</v>
      </c>
      <c r="N285" s="24">
        <v>75</v>
      </c>
      <c r="O285" s="24">
        <v>8775</v>
      </c>
      <c r="P285" s="9" t="s">
        <v>41</v>
      </c>
      <c r="Q285" s="37" t="s">
        <v>31</v>
      </c>
      <c r="T285" s="8">
        <f t="shared" si="6"/>
        <v>8850</v>
      </c>
    </row>
    <row r="286" spans="2:20" x14ac:dyDescent="0.35">
      <c r="B286" s="15">
        <v>289</v>
      </c>
      <c r="C286" s="16"/>
      <c r="D286" s="17"/>
      <c r="E286" s="35">
        <v>45906</v>
      </c>
      <c r="F286" s="23">
        <v>45901</v>
      </c>
      <c r="G286" s="11" t="s">
        <v>860</v>
      </c>
      <c r="H286" s="7" t="s">
        <v>143</v>
      </c>
      <c r="I286" s="17" t="s">
        <v>144</v>
      </c>
      <c r="J286" s="27" t="s">
        <v>144</v>
      </c>
      <c r="K286" s="21">
        <v>236</v>
      </c>
      <c r="L286" s="24"/>
      <c r="M286" s="24">
        <v>236</v>
      </c>
      <c r="N286" s="24"/>
      <c r="O286" s="24">
        <v>236</v>
      </c>
      <c r="P286" s="9" t="s">
        <v>41</v>
      </c>
      <c r="Q286" s="20" t="s">
        <v>858</v>
      </c>
      <c r="T286" s="8">
        <f t="shared" si="6"/>
        <v>236</v>
      </c>
    </row>
    <row r="287" spans="2:20" ht="28.5" x14ac:dyDescent="0.35">
      <c r="B287" s="15">
        <v>290</v>
      </c>
      <c r="C287" s="16">
        <v>45906</v>
      </c>
      <c r="D287" s="17"/>
      <c r="E287" s="35">
        <f t="shared" si="5"/>
        <v>45906</v>
      </c>
      <c r="F287" s="23">
        <v>45901</v>
      </c>
      <c r="G287" s="11" t="s">
        <v>860</v>
      </c>
      <c r="H287" s="7" t="s">
        <v>16</v>
      </c>
      <c r="I287" s="28" t="s">
        <v>479</v>
      </c>
      <c r="J287" s="18" t="s">
        <v>18</v>
      </c>
      <c r="K287" s="21">
        <v>97085</v>
      </c>
      <c r="L287" s="24">
        <v>17475.3</v>
      </c>
      <c r="M287" s="24">
        <v>114560.3</v>
      </c>
      <c r="N287" s="24">
        <v>22912</v>
      </c>
      <c r="O287" s="24">
        <v>91648.3</v>
      </c>
      <c r="P287" s="18" t="s">
        <v>19</v>
      </c>
      <c r="Q287" s="20" t="s">
        <v>20</v>
      </c>
      <c r="T287" s="8">
        <f t="shared" si="6"/>
        <v>114560.3</v>
      </c>
    </row>
    <row r="288" spans="2:20" x14ac:dyDescent="0.35">
      <c r="B288" s="15">
        <v>291</v>
      </c>
      <c r="C288" s="16">
        <v>45906</v>
      </c>
      <c r="D288" s="17"/>
      <c r="E288" s="35">
        <f t="shared" si="5"/>
        <v>45906</v>
      </c>
      <c r="F288" s="23">
        <v>45901</v>
      </c>
      <c r="G288" s="11" t="s">
        <v>860</v>
      </c>
      <c r="H288" s="11" t="s">
        <v>53</v>
      </c>
      <c r="I288" s="17" t="s">
        <v>165</v>
      </c>
      <c r="J288" s="27" t="s">
        <v>55</v>
      </c>
      <c r="K288" s="21">
        <v>24864</v>
      </c>
      <c r="L288" s="24">
        <v>2983.68</v>
      </c>
      <c r="M288" s="24">
        <v>27847.68</v>
      </c>
      <c r="N288" s="24"/>
      <c r="O288" s="24">
        <v>27847.68</v>
      </c>
      <c r="P288" s="9" t="s">
        <v>41</v>
      </c>
      <c r="Q288" s="37" t="s">
        <v>27</v>
      </c>
      <c r="T288" s="8">
        <f t="shared" si="6"/>
        <v>27847.68</v>
      </c>
    </row>
    <row r="289" spans="2:20" x14ac:dyDescent="0.35">
      <c r="B289" s="15">
        <v>292</v>
      </c>
      <c r="C289" s="16">
        <v>45911</v>
      </c>
      <c r="D289" s="17"/>
      <c r="E289" s="35">
        <f t="shared" si="5"/>
        <v>45911</v>
      </c>
      <c r="F289" s="23">
        <v>45901</v>
      </c>
      <c r="G289" s="11" t="s">
        <v>860</v>
      </c>
      <c r="H289" s="11" t="s">
        <v>480</v>
      </c>
      <c r="I289" s="17" t="s">
        <v>481</v>
      </c>
      <c r="J289" s="27" t="s">
        <v>92</v>
      </c>
      <c r="K289" s="21">
        <v>36000</v>
      </c>
      <c r="L289" s="24">
        <v>6480</v>
      </c>
      <c r="M289" s="24">
        <v>42480</v>
      </c>
      <c r="N289" s="24"/>
      <c r="O289" s="24">
        <v>18000</v>
      </c>
      <c r="P289" s="9" t="s">
        <v>26</v>
      </c>
      <c r="Q289" s="12" t="s">
        <v>241</v>
      </c>
      <c r="T289" s="8">
        <f t="shared" si="6"/>
        <v>18000</v>
      </c>
    </row>
    <row r="290" spans="2:20" ht="28.5" x14ac:dyDescent="0.35">
      <c r="B290" s="15">
        <v>293</v>
      </c>
      <c r="C290" s="16">
        <v>45911</v>
      </c>
      <c r="D290" s="17"/>
      <c r="E290" s="35">
        <f t="shared" si="5"/>
        <v>45911</v>
      </c>
      <c r="F290" s="23">
        <v>45901</v>
      </c>
      <c r="G290" s="11" t="s">
        <v>860</v>
      </c>
      <c r="H290" s="7" t="s">
        <v>453</v>
      </c>
      <c r="I290" s="17" t="s">
        <v>482</v>
      </c>
      <c r="J290" s="10" t="s">
        <v>483</v>
      </c>
      <c r="K290" s="21">
        <v>447745</v>
      </c>
      <c r="L290" s="24">
        <v>80594.099999999991</v>
      </c>
      <c r="M290" s="24">
        <v>528339.1</v>
      </c>
      <c r="N290" s="24">
        <v>4477.45</v>
      </c>
      <c r="O290" s="24">
        <v>264170</v>
      </c>
      <c r="P290" s="18" t="s">
        <v>19</v>
      </c>
      <c r="Q290" s="12" t="s">
        <v>27</v>
      </c>
      <c r="T290" s="8">
        <f t="shared" si="6"/>
        <v>268647.45</v>
      </c>
    </row>
    <row r="291" spans="2:20" x14ac:dyDescent="0.35">
      <c r="B291" s="15">
        <v>294</v>
      </c>
      <c r="C291" s="16">
        <v>45911</v>
      </c>
      <c r="D291" s="17"/>
      <c r="E291" s="35">
        <f t="shared" si="5"/>
        <v>45911</v>
      </c>
      <c r="F291" s="23">
        <v>45870</v>
      </c>
      <c r="G291" s="11" t="s">
        <v>860</v>
      </c>
      <c r="H291" s="7" t="s">
        <v>64</v>
      </c>
      <c r="I291" s="17" t="s">
        <v>484</v>
      </c>
      <c r="J291" s="10" t="s">
        <v>66</v>
      </c>
      <c r="K291" s="21">
        <v>97000</v>
      </c>
      <c r="L291" s="24">
        <v>17460</v>
      </c>
      <c r="M291" s="24">
        <v>114460</v>
      </c>
      <c r="N291" s="24">
        <v>970</v>
      </c>
      <c r="O291" s="24">
        <v>113490</v>
      </c>
      <c r="P291" s="9" t="s">
        <v>41</v>
      </c>
      <c r="Q291" s="37" t="s">
        <v>67</v>
      </c>
      <c r="T291" s="8">
        <f t="shared" si="6"/>
        <v>114460</v>
      </c>
    </row>
    <row r="292" spans="2:20" x14ac:dyDescent="0.35">
      <c r="B292" s="15">
        <v>295</v>
      </c>
      <c r="C292" s="16">
        <v>45911</v>
      </c>
      <c r="D292" s="17"/>
      <c r="E292" s="35">
        <f>C292</f>
        <v>45911</v>
      </c>
      <c r="F292" s="23">
        <v>45901</v>
      </c>
      <c r="G292" s="11" t="s">
        <v>860</v>
      </c>
      <c r="H292" s="7" t="s">
        <v>64</v>
      </c>
      <c r="I292" s="17" t="s">
        <v>485</v>
      </c>
      <c r="J292" s="10" t="s">
        <v>66</v>
      </c>
      <c r="K292" s="21">
        <v>12500</v>
      </c>
      <c r="L292" s="24">
        <v>2250</v>
      </c>
      <c r="M292" s="24">
        <v>14750</v>
      </c>
      <c r="N292" s="24">
        <v>125</v>
      </c>
      <c r="O292" s="24">
        <v>14625</v>
      </c>
      <c r="P292" s="9" t="s">
        <v>26</v>
      </c>
      <c r="Q292" s="37" t="s">
        <v>67</v>
      </c>
      <c r="T292" s="8">
        <f t="shared" si="6"/>
        <v>14750</v>
      </c>
    </row>
    <row r="293" spans="2:20" x14ac:dyDescent="0.35">
      <c r="B293" s="15">
        <v>296</v>
      </c>
      <c r="C293" s="34"/>
      <c r="D293" s="27" t="s">
        <v>22</v>
      </c>
      <c r="E293" s="35">
        <v>45911</v>
      </c>
      <c r="F293" s="23">
        <v>45901</v>
      </c>
      <c r="G293" s="11" t="s">
        <v>860</v>
      </c>
      <c r="H293" s="27" t="s">
        <v>486</v>
      </c>
      <c r="I293" s="7" t="s">
        <v>487</v>
      </c>
      <c r="J293" s="10" t="s">
        <v>488</v>
      </c>
      <c r="K293" s="36">
        <v>50350</v>
      </c>
      <c r="L293" s="36">
        <v>9063</v>
      </c>
      <c r="M293" s="36">
        <v>59413</v>
      </c>
      <c r="N293" s="36">
        <v>503.5</v>
      </c>
      <c r="O293" s="36">
        <v>24923</v>
      </c>
      <c r="P293" s="27" t="s">
        <v>19</v>
      </c>
      <c r="Q293" s="37" t="s">
        <v>20</v>
      </c>
      <c r="T293" s="8">
        <f t="shared" si="6"/>
        <v>25426.5</v>
      </c>
    </row>
    <row r="294" spans="2:20" x14ac:dyDescent="0.35">
      <c r="B294" s="15">
        <v>297</v>
      </c>
      <c r="C294" s="34"/>
      <c r="D294" s="27" t="s">
        <v>22</v>
      </c>
      <c r="E294" s="35">
        <v>45911</v>
      </c>
      <c r="F294" s="23">
        <v>45901</v>
      </c>
      <c r="G294" s="11" t="s">
        <v>860</v>
      </c>
      <c r="H294" s="27" t="s">
        <v>486</v>
      </c>
      <c r="I294" s="7" t="s">
        <v>489</v>
      </c>
      <c r="J294" s="10" t="s">
        <v>488</v>
      </c>
      <c r="K294" s="36">
        <v>129584</v>
      </c>
      <c r="L294" s="36">
        <v>23325.119999999999</v>
      </c>
      <c r="M294" s="36">
        <v>152909.12</v>
      </c>
      <c r="N294" s="36">
        <v>1295.8399999999999</v>
      </c>
      <c r="O294" s="36">
        <v>64144</v>
      </c>
      <c r="P294" s="27" t="s">
        <v>19</v>
      </c>
      <c r="Q294" s="37" t="s">
        <v>20</v>
      </c>
      <c r="T294" s="8">
        <f t="shared" si="6"/>
        <v>65439.839999999997</v>
      </c>
    </row>
    <row r="295" spans="2:20" x14ac:dyDescent="0.35">
      <c r="B295" s="15">
        <v>298</v>
      </c>
      <c r="C295" s="34"/>
      <c r="D295" s="27" t="s">
        <v>22</v>
      </c>
      <c r="E295" s="35">
        <v>45911</v>
      </c>
      <c r="F295" s="23">
        <v>45901</v>
      </c>
      <c r="G295" s="11" t="s">
        <v>860</v>
      </c>
      <c r="H295" s="27" t="s">
        <v>486</v>
      </c>
      <c r="I295" s="7" t="s">
        <v>490</v>
      </c>
      <c r="J295" s="10" t="s">
        <v>488</v>
      </c>
      <c r="K295" s="36">
        <v>52688</v>
      </c>
      <c r="L295" s="36">
        <v>9483.84</v>
      </c>
      <c r="M295" s="36">
        <v>62171.839999999997</v>
      </c>
      <c r="N295" s="36">
        <v>526.88</v>
      </c>
      <c r="O295" s="36">
        <v>26081</v>
      </c>
      <c r="P295" s="27" t="s">
        <v>19</v>
      </c>
      <c r="Q295" s="37" t="s">
        <v>20</v>
      </c>
      <c r="T295" s="8">
        <f t="shared" si="6"/>
        <v>26607.88</v>
      </c>
    </row>
    <row r="296" spans="2:20" x14ac:dyDescent="0.35">
      <c r="B296" s="15">
        <v>299</v>
      </c>
      <c r="C296" s="34"/>
      <c r="D296" s="27" t="s">
        <v>22</v>
      </c>
      <c r="E296" s="35">
        <v>45911</v>
      </c>
      <c r="F296" s="23">
        <v>45901</v>
      </c>
      <c r="G296" s="11" t="s">
        <v>860</v>
      </c>
      <c r="H296" s="27" t="s">
        <v>486</v>
      </c>
      <c r="I296" s="7" t="s">
        <v>491</v>
      </c>
      <c r="J296" s="10" t="s">
        <v>488</v>
      </c>
      <c r="K296" s="36">
        <v>95000</v>
      </c>
      <c r="L296" s="36">
        <v>17100</v>
      </c>
      <c r="M296" s="36">
        <v>112100</v>
      </c>
      <c r="N296" s="36">
        <v>950</v>
      </c>
      <c r="O296" s="36">
        <v>47025</v>
      </c>
      <c r="P296" s="27" t="s">
        <v>19</v>
      </c>
      <c r="Q296" s="37" t="s">
        <v>20</v>
      </c>
      <c r="T296" s="8">
        <f t="shared" si="6"/>
        <v>47975</v>
      </c>
    </row>
    <row r="297" spans="2:20" x14ac:dyDescent="0.35">
      <c r="B297" s="15">
        <v>300</v>
      </c>
      <c r="C297" s="34"/>
      <c r="D297" s="27" t="s">
        <v>22</v>
      </c>
      <c r="E297" s="35">
        <v>45911</v>
      </c>
      <c r="F297" s="23">
        <v>45901</v>
      </c>
      <c r="G297" s="11" t="s">
        <v>860</v>
      </c>
      <c r="H297" s="27" t="s">
        <v>486</v>
      </c>
      <c r="I297" s="7" t="s">
        <v>492</v>
      </c>
      <c r="J297" s="10" t="s">
        <v>488</v>
      </c>
      <c r="K297" s="36">
        <v>254600</v>
      </c>
      <c r="L297" s="36">
        <v>45828</v>
      </c>
      <c r="M297" s="36">
        <v>300428</v>
      </c>
      <c r="N297" s="36">
        <v>2546</v>
      </c>
      <c r="O297" s="36">
        <v>126027</v>
      </c>
      <c r="P297" s="27" t="s">
        <v>19</v>
      </c>
      <c r="Q297" s="37" t="s">
        <v>20</v>
      </c>
      <c r="T297" s="8">
        <f t="shared" si="6"/>
        <v>128573</v>
      </c>
    </row>
    <row r="298" spans="2:20" x14ac:dyDescent="0.35">
      <c r="B298" s="15">
        <v>301</v>
      </c>
      <c r="C298" s="16">
        <v>45911</v>
      </c>
      <c r="D298" s="17"/>
      <c r="E298" s="35">
        <f>C298</f>
        <v>45911</v>
      </c>
      <c r="F298" s="23">
        <v>45901</v>
      </c>
      <c r="G298" s="11" t="s">
        <v>860</v>
      </c>
      <c r="H298" s="7" t="s">
        <v>16</v>
      </c>
      <c r="I298" s="17" t="s">
        <v>493</v>
      </c>
      <c r="J298" s="27" t="s">
        <v>309</v>
      </c>
      <c r="K298" s="21">
        <v>17000</v>
      </c>
      <c r="L298" s="24">
        <v>3060</v>
      </c>
      <c r="M298" s="24">
        <v>20060</v>
      </c>
      <c r="N298" s="24"/>
      <c r="O298" s="24">
        <v>8500</v>
      </c>
      <c r="P298" s="9" t="s">
        <v>26</v>
      </c>
      <c r="Q298" s="12" t="s">
        <v>241</v>
      </c>
      <c r="T298" s="8">
        <f t="shared" si="6"/>
        <v>8500</v>
      </c>
    </row>
    <row r="299" spans="2:20" x14ac:dyDescent="0.35">
      <c r="B299" s="15">
        <v>302</v>
      </c>
      <c r="C299" s="16">
        <v>45911</v>
      </c>
      <c r="D299" s="17"/>
      <c r="E299" s="35">
        <f>C299</f>
        <v>45911</v>
      </c>
      <c r="F299" s="23">
        <v>45901</v>
      </c>
      <c r="G299" s="11" t="s">
        <v>860</v>
      </c>
      <c r="H299" s="27" t="s">
        <v>494</v>
      </c>
      <c r="I299" s="17" t="s">
        <v>495</v>
      </c>
      <c r="J299" s="18" t="s">
        <v>46</v>
      </c>
      <c r="K299" s="21">
        <v>50831</v>
      </c>
      <c r="L299" s="24">
        <v>8911.2800000000007</v>
      </c>
      <c r="M299" s="24">
        <v>59742.28</v>
      </c>
      <c r="N299" s="24"/>
      <c r="O299" s="24">
        <v>59742</v>
      </c>
      <c r="P299" s="9" t="s">
        <v>26</v>
      </c>
      <c r="Q299" s="12" t="s">
        <v>67</v>
      </c>
      <c r="T299" s="8">
        <f t="shared" si="6"/>
        <v>59742</v>
      </c>
    </row>
    <row r="300" spans="2:20" x14ac:dyDescent="0.35">
      <c r="B300" s="15">
        <v>303</v>
      </c>
      <c r="C300" s="16"/>
      <c r="D300" s="17"/>
      <c r="E300" s="35">
        <v>45911</v>
      </c>
      <c r="F300" s="23">
        <v>45870</v>
      </c>
      <c r="G300" s="11" t="s">
        <v>860</v>
      </c>
      <c r="H300" s="7" t="s">
        <v>221</v>
      </c>
      <c r="I300" s="17" t="s">
        <v>222</v>
      </c>
      <c r="J300" s="27" t="s">
        <v>223</v>
      </c>
      <c r="K300" s="21">
        <v>81523</v>
      </c>
      <c r="L300" s="24">
        <v>14674.14</v>
      </c>
      <c r="M300" s="24">
        <v>96197.14</v>
      </c>
      <c r="N300" s="24">
        <v>815.23</v>
      </c>
      <c r="O300" s="24">
        <v>95381.91</v>
      </c>
      <c r="P300" s="9" t="s">
        <v>41</v>
      </c>
      <c r="Q300" s="12" t="s">
        <v>47</v>
      </c>
      <c r="T300" s="8">
        <f t="shared" si="6"/>
        <v>96197.14</v>
      </c>
    </row>
    <row r="301" spans="2:20" x14ac:dyDescent="0.35">
      <c r="B301" s="15">
        <v>304</v>
      </c>
      <c r="C301" s="16"/>
      <c r="D301" s="17"/>
      <c r="E301" s="35">
        <v>45911</v>
      </c>
      <c r="F301" s="23">
        <v>45870</v>
      </c>
      <c r="G301" s="11" t="s">
        <v>860</v>
      </c>
      <c r="H301" s="7" t="s">
        <v>221</v>
      </c>
      <c r="I301" s="17" t="s">
        <v>224</v>
      </c>
      <c r="J301" s="27" t="s">
        <v>223</v>
      </c>
      <c r="K301" s="21">
        <v>61290</v>
      </c>
      <c r="L301" s="24">
        <v>11032.199999999999</v>
      </c>
      <c r="M301" s="24">
        <v>72322.2</v>
      </c>
      <c r="N301" s="24">
        <v>612.9</v>
      </c>
      <c r="O301" s="24">
        <v>71709.3</v>
      </c>
      <c r="P301" s="9" t="s">
        <v>41</v>
      </c>
      <c r="Q301" s="12" t="s">
        <v>47</v>
      </c>
      <c r="T301" s="8">
        <f t="shared" si="6"/>
        <v>72322.2</v>
      </c>
    </row>
    <row r="302" spans="2:20" x14ac:dyDescent="0.35">
      <c r="B302" s="15">
        <v>305</v>
      </c>
      <c r="C302" s="16"/>
      <c r="D302" s="17"/>
      <c r="E302" s="35">
        <v>45911</v>
      </c>
      <c r="F302" s="23">
        <v>45870</v>
      </c>
      <c r="G302" s="11" t="s">
        <v>860</v>
      </c>
      <c r="H302" s="7" t="s">
        <v>221</v>
      </c>
      <c r="I302" s="17" t="s">
        <v>225</v>
      </c>
      <c r="J302" s="27" t="s">
        <v>223</v>
      </c>
      <c r="K302" s="21">
        <v>39639</v>
      </c>
      <c r="L302" s="24">
        <v>7135.0199999999995</v>
      </c>
      <c r="M302" s="24">
        <v>46774.02</v>
      </c>
      <c r="N302" s="24">
        <v>396.39</v>
      </c>
      <c r="O302" s="24">
        <v>46377.63</v>
      </c>
      <c r="P302" s="9" t="s">
        <v>41</v>
      </c>
      <c r="Q302" s="12" t="s">
        <v>47</v>
      </c>
      <c r="T302" s="8">
        <f t="shared" si="6"/>
        <v>46774.02</v>
      </c>
    </row>
    <row r="303" spans="2:20" x14ac:dyDescent="0.35">
      <c r="B303" s="15">
        <v>306</v>
      </c>
      <c r="C303" s="16"/>
      <c r="D303" s="17"/>
      <c r="E303" s="35">
        <v>45911</v>
      </c>
      <c r="F303" s="23">
        <v>45870</v>
      </c>
      <c r="G303" s="11" t="s">
        <v>860</v>
      </c>
      <c r="H303" s="7" t="s">
        <v>221</v>
      </c>
      <c r="I303" s="17" t="s">
        <v>226</v>
      </c>
      <c r="J303" s="27" t="s">
        <v>223</v>
      </c>
      <c r="K303" s="21">
        <v>50168</v>
      </c>
      <c r="L303" s="24">
        <v>9030.24</v>
      </c>
      <c r="M303" s="24">
        <v>59198.239999999998</v>
      </c>
      <c r="N303" s="24">
        <v>501.68</v>
      </c>
      <c r="O303" s="24">
        <v>58696.56</v>
      </c>
      <c r="P303" s="9" t="s">
        <v>41</v>
      </c>
      <c r="Q303" s="12" t="s">
        <v>47</v>
      </c>
      <c r="T303" s="8">
        <f t="shared" si="6"/>
        <v>59198.239999999998</v>
      </c>
    </row>
    <row r="304" spans="2:20" x14ac:dyDescent="0.35">
      <c r="B304" s="15">
        <v>307</v>
      </c>
      <c r="C304" s="16"/>
      <c r="D304" s="17"/>
      <c r="E304" s="35">
        <v>45911</v>
      </c>
      <c r="F304" s="23">
        <v>45870</v>
      </c>
      <c r="G304" s="11" t="s">
        <v>860</v>
      </c>
      <c r="H304" s="7" t="s">
        <v>221</v>
      </c>
      <c r="I304" s="17" t="s">
        <v>227</v>
      </c>
      <c r="J304" s="27" t="s">
        <v>223</v>
      </c>
      <c r="K304" s="21">
        <v>32766</v>
      </c>
      <c r="L304" s="24">
        <v>5897.88</v>
      </c>
      <c r="M304" s="24">
        <v>38663.879999999997</v>
      </c>
      <c r="N304" s="24">
        <v>327.66000000000003</v>
      </c>
      <c r="O304" s="24">
        <v>38336.219999999994</v>
      </c>
      <c r="P304" s="9" t="s">
        <v>41</v>
      </c>
      <c r="Q304" s="12" t="s">
        <v>47</v>
      </c>
      <c r="T304" s="8">
        <f t="shared" si="6"/>
        <v>38663.879999999997</v>
      </c>
    </row>
    <row r="305" spans="2:20" x14ac:dyDescent="0.35">
      <c r="B305" s="15">
        <v>308</v>
      </c>
      <c r="C305" s="16"/>
      <c r="D305" s="17"/>
      <c r="E305" s="35">
        <v>45911</v>
      </c>
      <c r="F305" s="23">
        <v>45870</v>
      </c>
      <c r="G305" s="11" t="s">
        <v>860</v>
      </c>
      <c r="H305" s="7" t="s">
        <v>221</v>
      </c>
      <c r="I305" s="17" t="s">
        <v>228</v>
      </c>
      <c r="J305" s="10" t="s">
        <v>229</v>
      </c>
      <c r="K305" s="21">
        <v>195736</v>
      </c>
      <c r="L305" s="24">
        <v>35232.479999999996</v>
      </c>
      <c r="M305" s="24">
        <v>230968.47999999998</v>
      </c>
      <c r="N305" s="24">
        <v>1957.3600000000001</v>
      </c>
      <c r="O305" s="24">
        <v>229011.12</v>
      </c>
      <c r="P305" s="9" t="s">
        <v>41</v>
      </c>
      <c r="Q305" s="12" t="s">
        <v>93</v>
      </c>
      <c r="T305" s="8">
        <f t="shared" si="6"/>
        <v>230968.47999999998</v>
      </c>
    </row>
    <row r="306" spans="2:20" x14ac:dyDescent="0.35">
      <c r="B306" s="15">
        <v>309</v>
      </c>
      <c r="C306" s="16"/>
      <c r="D306" s="17"/>
      <c r="E306" s="35">
        <v>45911</v>
      </c>
      <c r="F306" s="23">
        <v>45870</v>
      </c>
      <c r="G306" s="11" t="s">
        <v>860</v>
      </c>
      <c r="H306" s="7" t="s">
        <v>221</v>
      </c>
      <c r="I306" s="17" t="s">
        <v>230</v>
      </c>
      <c r="J306" s="10" t="s">
        <v>231</v>
      </c>
      <c r="K306" s="21">
        <v>215217</v>
      </c>
      <c r="L306" s="24">
        <v>38739.06</v>
      </c>
      <c r="M306" s="24">
        <v>253956.06</v>
      </c>
      <c r="N306" s="24">
        <v>2152.17</v>
      </c>
      <c r="O306" s="24">
        <v>251803.88999999998</v>
      </c>
      <c r="P306" s="9" t="s">
        <v>41</v>
      </c>
      <c r="Q306" s="12" t="s">
        <v>27</v>
      </c>
      <c r="T306" s="8">
        <f t="shared" si="6"/>
        <v>253956.06</v>
      </c>
    </row>
    <row r="307" spans="2:20" ht="15.65" customHeight="1" x14ac:dyDescent="0.35">
      <c r="B307" s="15">
        <v>310</v>
      </c>
      <c r="C307" s="16"/>
      <c r="D307" s="17"/>
      <c r="E307" s="35">
        <v>45911</v>
      </c>
      <c r="F307" s="23">
        <v>45870</v>
      </c>
      <c r="G307" s="11" t="s">
        <v>860</v>
      </c>
      <c r="H307" s="7" t="s">
        <v>221</v>
      </c>
      <c r="I307" s="17" t="s">
        <v>232</v>
      </c>
      <c r="J307" s="10" t="s">
        <v>233</v>
      </c>
      <c r="K307" s="21">
        <v>27000</v>
      </c>
      <c r="L307" s="24">
        <v>4860</v>
      </c>
      <c r="M307" s="24">
        <v>31860</v>
      </c>
      <c r="N307" s="24">
        <v>270</v>
      </c>
      <c r="O307" s="24">
        <v>31590</v>
      </c>
      <c r="P307" s="9" t="s">
        <v>41</v>
      </c>
      <c r="Q307" s="12" t="s">
        <v>20</v>
      </c>
      <c r="T307" s="8">
        <f t="shared" si="6"/>
        <v>31860</v>
      </c>
    </row>
    <row r="308" spans="2:20" ht="14.4" customHeight="1" x14ac:dyDescent="0.35">
      <c r="B308" s="15">
        <v>311</v>
      </c>
      <c r="C308" s="16"/>
      <c r="D308" s="17"/>
      <c r="E308" s="35">
        <v>45911</v>
      </c>
      <c r="F308" s="23">
        <v>45870</v>
      </c>
      <c r="G308" s="11" t="s">
        <v>860</v>
      </c>
      <c r="H308" s="7" t="s">
        <v>221</v>
      </c>
      <c r="I308" s="17" t="s">
        <v>234</v>
      </c>
      <c r="J308" s="10" t="s">
        <v>233</v>
      </c>
      <c r="K308" s="21">
        <v>7403</v>
      </c>
      <c r="L308" s="24">
        <v>1332.54</v>
      </c>
      <c r="M308" s="24">
        <v>8735.5400000000009</v>
      </c>
      <c r="N308" s="24">
        <v>74.03</v>
      </c>
      <c r="O308" s="24">
        <v>8661.51</v>
      </c>
      <c r="P308" s="9" t="s">
        <v>41</v>
      </c>
      <c r="Q308" s="12" t="s">
        <v>20</v>
      </c>
      <c r="T308" s="8">
        <f t="shared" si="6"/>
        <v>8735.5400000000009</v>
      </c>
    </row>
    <row r="309" spans="2:20" x14ac:dyDescent="0.35">
      <c r="B309" s="15">
        <v>312</v>
      </c>
      <c r="C309" s="16"/>
      <c r="D309" s="17"/>
      <c r="E309" s="35">
        <v>45911</v>
      </c>
      <c r="F309" s="23">
        <v>45870</v>
      </c>
      <c r="G309" s="11" t="s">
        <v>860</v>
      </c>
      <c r="H309" s="7" t="s">
        <v>221</v>
      </c>
      <c r="I309" s="17" t="s">
        <v>235</v>
      </c>
      <c r="J309" s="10" t="s">
        <v>236</v>
      </c>
      <c r="K309" s="21">
        <v>26613</v>
      </c>
      <c r="L309" s="24">
        <v>4790.34</v>
      </c>
      <c r="M309" s="24">
        <v>31403.34</v>
      </c>
      <c r="N309" s="24">
        <v>266.13</v>
      </c>
      <c r="O309" s="24">
        <v>31137.21</v>
      </c>
      <c r="P309" s="9" t="s">
        <v>41</v>
      </c>
      <c r="Q309" s="12" t="s">
        <v>67</v>
      </c>
      <c r="T309" s="8">
        <f t="shared" si="6"/>
        <v>31403.34</v>
      </c>
    </row>
    <row r="310" spans="2:20" x14ac:dyDescent="0.35">
      <c r="B310" s="15">
        <v>313</v>
      </c>
      <c r="C310" s="16"/>
      <c r="D310" s="17"/>
      <c r="E310" s="35">
        <v>45911</v>
      </c>
      <c r="F310" s="23">
        <v>45870</v>
      </c>
      <c r="G310" s="11" t="s">
        <v>860</v>
      </c>
      <c r="H310" s="7" t="s">
        <v>221</v>
      </c>
      <c r="I310" s="17" t="s">
        <v>237</v>
      </c>
      <c r="J310" s="10" t="s">
        <v>236</v>
      </c>
      <c r="K310" s="21">
        <v>607142</v>
      </c>
      <c r="L310" s="24">
        <v>109285.56</v>
      </c>
      <c r="M310" s="24">
        <v>716427.56</v>
      </c>
      <c r="N310" s="24">
        <v>6071.42</v>
      </c>
      <c r="O310" s="24">
        <v>710356.14</v>
      </c>
      <c r="P310" s="9" t="s">
        <v>41</v>
      </c>
      <c r="Q310" s="12" t="s">
        <v>67</v>
      </c>
      <c r="T310" s="8">
        <f t="shared" si="6"/>
        <v>716427.56</v>
      </c>
    </row>
    <row r="311" spans="2:20" x14ac:dyDescent="0.35">
      <c r="B311" s="15">
        <v>314</v>
      </c>
      <c r="C311" s="16"/>
      <c r="D311" s="17"/>
      <c r="E311" s="35">
        <v>45911</v>
      </c>
      <c r="F311" s="23">
        <v>45870</v>
      </c>
      <c r="G311" s="11" t="s">
        <v>860</v>
      </c>
      <c r="H311" s="7" t="s">
        <v>221</v>
      </c>
      <c r="I311" s="17" t="s">
        <v>238</v>
      </c>
      <c r="J311" s="10" t="s">
        <v>236</v>
      </c>
      <c r="K311" s="21">
        <v>20000</v>
      </c>
      <c r="L311" s="24">
        <v>3600</v>
      </c>
      <c r="M311" s="24">
        <v>23600</v>
      </c>
      <c r="N311" s="24">
        <v>200</v>
      </c>
      <c r="O311" s="24">
        <v>23400</v>
      </c>
      <c r="P311" s="9" t="s">
        <v>41</v>
      </c>
      <c r="Q311" s="12" t="s">
        <v>67</v>
      </c>
      <c r="T311" s="8">
        <f t="shared" si="6"/>
        <v>23600</v>
      </c>
    </row>
    <row r="312" spans="2:20" x14ac:dyDescent="0.35">
      <c r="B312" s="15">
        <v>315</v>
      </c>
      <c r="C312" s="16"/>
      <c r="D312" s="17"/>
      <c r="E312" s="35">
        <v>45911</v>
      </c>
      <c r="F312" s="23">
        <v>45870</v>
      </c>
      <c r="G312" s="11" t="s">
        <v>860</v>
      </c>
      <c r="H312" s="7" t="s">
        <v>221</v>
      </c>
      <c r="I312" s="17" t="s">
        <v>239</v>
      </c>
      <c r="J312" s="10" t="s">
        <v>240</v>
      </c>
      <c r="K312" s="21">
        <v>19000</v>
      </c>
      <c r="L312" s="24">
        <v>3420</v>
      </c>
      <c r="M312" s="24">
        <v>22420</v>
      </c>
      <c r="N312" s="24">
        <v>190</v>
      </c>
      <c r="O312" s="24">
        <v>22230</v>
      </c>
      <c r="P312" s="9" t="s">
        <v>41</v>
      </c>
      <c r="Q312" s="12" t="s">
        <v>241</v>
      </c>
      <c r="T312" s="8">
        <f t="shared" si="6"/>
        <v>22420</v>
      </c>
    </row>
    <row r="313" spans="2:20" x14ac:dyDescent="0.35">
      <c r="B313" s="15">
        <v>316</v>
      </c>
      <c r="C313" s="16"/>
      <c r="D313" s="17"/>
      <c r="E313" s="35">
        <v>45911</v>
      </c>
      <c r="F313" s="23">
        <v>45870</v>
      </c>
      <c r="G313" s="11" t="s">
        <v>860</v>
      </c>
      <c r="H313" s="7" t="s">
        <v>221</v>
      </c>
      <c r="I313" s="17" t="s">
        <v>242</v>
      </c>
      <c r="J313" s="10" t="s">
        <v>236</v>
      </c>
      <c r="K313" s="21">
        <v>36720</v>
      </c>
      <c r="L313" s="24">
        <v>6609.5999999999995</v>
      </c>
      <c r="M313" s="24">
        <v>43329.599999999999</v>
      </c>
      <c r="N313" s="24">
        <v>367.2</v>
      </c>
      <c r="O313" s="24">
        <v>42962.400000000001</v>
      </c>
      <c r="P313" s="9" t="s">
        <v>41</v>
      </c>
      <c r="Q313" s="12" t="s">
        <v>67</v>
      </c>
      <c r="T313" s="8">
        <f t="shared" si="6"/>
        <v>43329.599999999999</v>
      </c>
    </row>
    <row r="314" spans="2:20" x14ac:dyDescent="0.35">
      <c r="B314" s="15">
        <v>317</v>
      </c>
      <c r="C314" s="16"/>
      <c r="D314" s="17"/>
      <c r="E314" s="35">
        <v>45911</v>
      </c>
      <c r="F314" s="23">
        <v>45870</v>
      </c>
      <c r="G314" s="11" t="s">
        <v>860</v>
      </c>
      <c r="H314" s="7" t="s">
        <v>221</v>
      </c>
      <c r="I314" s="17" t="s">
        <v>243</v>
      </c>
      <c r="J314" s="27" t="s">
        <v>223</v>
      </c>
      <c r="K314" s="21">
        <v>80000</v>
      </c>
      <c r="L314" s="24">
        <v>14400</v>
      </c>
      <c r="M314" s="24">
        <v>94400</v>
      </c>
      <c r="N314" s="24">
        <v>800</v>
      </c>
      <c r="O314" s="24">
        <v>93600</v>
      </c>
      <c r="P314" s="9" t="s">
        <v>41</v>
      </c>
      <c r="Q314" s="12" t="s">
        <v>47</v>
      </c>
      <c r="T314" s="8">
        <f t="shared" si="6"/>
        <v>94400</v>
      </c>
    </row>
    <row r="315" spans="2:20" x14ac:dyDescent="0.35">
      <c r="B315" s="15">
        <v>318</v>
      </c>
      <c r="C315" s="16"/>
      <c r="D315" s="17"/>
      <c r="E315" s="35">
        <v>45918</v>
      </c>
      <c r="F315" s="23">
        <v>45901</v>
      </c>
      <c r="G315" s="11" t="s">
        <v>860</v>
      </c>
      <c r="H315" s="7" t="s">
        <v>143</v>
      </c>
      <c r="I315" s="17" t="s">
        <v>144</v>
      </c>
      <c r="J315" s="27" t="s">
        <v>144</v>
      </c>
      <c r="K315" s="38">
        <v>11.8</v>
      </c>
      <c r="L315" s="24"/>
      <c r="M315" s="24">
        <v>11.8</v>
      </c>
      <c r="N315" s="24"/>
      <c r="O315" s="39">
        <v>11.8</v>
      </c>
      <c r="P315" s="9" t="s">
        <v>41</v>
      </c>
      <c r="Q315" s="20" t="s">
        <v>858</v>
      </c>
      <c r="T315" s="8">
        <f t="shared" si="6"/>
        <v>11.8</v>
      </c>
    </row>
    <row r="316" spans="2:20" x14ac:dyDescent="0.35">
      <c r="B316" s="15">
        <v>319</v>
      </c>
      <c r="C316" s="16">
        <v>45919</v>
      </c>
      <c r="D316" s="17"/>
      <c r="E316" s="35">
        <f t="shared" ref="E316:E332" si="7">C316</f>
        <v>45919</v>
      </c>
      <c r="F316" s="23">
        <v>45901</v>
      </c>
      <c r="G316" s="11" t="s">
        <v>860</v>
      </c>
      <c r="H316" s="7" t="s">
        <v>470</v>
      </c>
      <c r="I316" s="17" t="s">
        <v>496</v>
      </c>
      <c r="J316" s="10" t="s">
        <v>110</v>
      </c>
      <c r="K316" s="21">
        <v>89888</v>
      </c>
      <c r="L316" s="24">
        <v>16179.84</v>
      </c>
      <c r="M316" s="24">
        <v>106067.84</v>
      </c>
      <c r="N316" s="24">
        <v>8988.8000000000011</v>
      </c>
      <c r="O316" s="24">
        <v>97079.039999999994</v>
      </c>
      <c r="P316" s="9" t="s">
        <v>41</v>
      </c>
      <c r="Q316" s="20" t="s">
        <v>858</v>
      </c>
      <c r="T316" s="8">
        <f t="shared" si="6"/>
        <v>106067.84</v>
      </c>
    </row>
    <row r="317" spans="2:20" x14ac:dyDescent="0.35">
      <c r="B317" s="15">
        <v>320</v>
      </c>
      <c r="C317" s="16">
        <v>45919</v>
      </c>
      <c r="D317" s="17"/>
      <c r="E317" s="35">
        <f t="shared" si="7"/>
        <v>45919</v>
      </c>
      <c r="F317" s="23">
        <v>45901</v>
      </c>
      <c r="G317" s="11" t="s">
        <v>860</v>
      </c>
      <c r="H317" s="27" t="s">
        <v>497</v>
      </c>
      <c r="I317" s="17" t="s">
        <v>498</v>
      </c>
      <c r="J317" s="27" t="s">
        <v>299</v>
      </c>
      <c r="K317" s="21">
        <v>15000</v>
      </c>
      <c r="L317" s="24">
        <v>2700</v>
      </c>
      <c r="M317" s="24">
        <v>17700</v>
      </c>
      <c r="N317" s="24">
        <v>150</v>
      </c>
      <c r="O317" s="24">
        <v>17550</v>
      </c>
      <c r="P317" s="9" t="s">
        <v>26</v>
      </c>
      <c r="Q317" s="12" t="s">
        <v>241</v>
      </c>
      <c r="T317" s="8">
        <f t="shared" si="6"/>
        <v>17700</v>
      </c>
    </row>
    <row r="318" spans="2:20" x14ac:dyDescent="0.35">
      <c r="B318" s="15">
        <v>321</v>
      </c>
      <c r="C318" s="16">
        <v>45919</v>
      </c>
      <c r="D318" s="17"/>
      <c r="E318" s="35">
        <f t="shared" si="7"/>
        <v>45919</v>
      </c>
      <c r="F318" s="23">
        <v>45901</v>
      </c>
      <c r="G318" s="11" t="s">
        <v>860</v>
      </c>
      <c r="H318" s="7" t="s">
        <v>120</v>
      </c>
      <c r="I318" s="17" t="s">
        <v>499</v>
      </c>
      <c r="J318" s="10" t="s">
        <v>92</v>
      </c>
      <c r="K318" s="21">
        <v>15395</v>
      </c>
      <c r="L318" s="24"/>
      <c r="M318" s="24">
        <v>15395</v>
      </c>
      <c r="N318" s="24"/>
      <c r="O318" s="24">
        <v>15395</v>
      </c>
      <c r="P318" s="9" t="s">
        <v>26</v>
      </c>
      <c r="Q318" s="12" t="s">
        <v>93</v>
      </c>
      <c r="T318" s="8">
        <f t="shared" si="6"/>
        <v>15395</v>
      </c>
    </row>
    <row r="319" spans="2:20" x14ac:dyDescent="0.35">
      <c r="B319" s="15">
        <v>322</v>
      </c>
      <c r="C319" s="16">
        <v>45919</v>
      </c>
      <c r="D319" s="17"/>
      <c r="E319" s="35">
        <f t="shared" si="7"/>
        <v>45919</v>
      </c>
      <c r="F319" s="23">
        <v>45901</v>
      </c>
      <c r="G319" s="11" t="s">
        <v>860</v>
      </c>
      <c r="H319" s="7" t="s">
        <v>120</v>
      </c>
      <c r="I319" s="17" t="s">
        <v>500</v>
      </c>
      <c r="J319" s="10" t="s">
        <v>92</v>
      </c>
      <c r="K319" s="21">
        <v>5930</v>
      </c>
      <c r="L319" s="24"/>
      <c r="M319" s="24">
        <v>5930</v>
      </c>
      <c r="N319" s="24"/>
      <c r="O319" s="24">
        <v>5930</v>
      </c>
      <c r="P319" s="9" t="s">
        <v>26</v>
      </c>
      <c r="Q319" s="12" t="s">
        <v>93</v>
      </c>
      <c r="T319" s="8">
        <f t="shared" si="6"/>
        <v>5930</v>
      </c>
    </row>
    <row r="320" spans="2:20" x14ac:dyDescent="0.35">
      <c r="B320" s="15">
        <v>323</v>
      </c>
      <c r="C320" s="16">
        <v>45919</v>
      </c>
      <c r="D320" s="17"/>
      <c r="E320" s="35">
        <f t="shared" si="7"/>
        <v>45919</v>
      </c>
      <c r="F320" s="23">
        <v>45901</v>
      </c>
      <c r="G320" s="11" t="s">
        <v>860</v>
      </c>
      <c r="H320" s="27" t="s">
        <v>501</v>
      </c>
      <c r="I320" s="17" t="s">
        <v>502</v>
      </c>
      <c r="J320" s="27" t="s">
        <v>299</v>
      </c>
      <c r="K320" s="21">
        <v>3000</v>
      </c>
      <c r="L320" s="24"/>
      <c r="M320" s="24">
        <v>3000</v>
      </c>
      <c r="N320" s="24"/>
      <c r="O320" s="24">
        <v>3000</v>
      </c>
      <c r="P320" s="9" t="s">
        <v>26</v>
      </c>
      <c r="Q320" s="12" t="s">
        <v>241</v>
      </c>
      <c r="T320" s="8">
        <f t="shared" si="6"/>
        <v>3000</v>
      </c>
    </row>
    <row r="321" spans="2:20" x14ac:dyDescent="0.35">
      <c r="B321" s="15">
        <v>324</v>
      </c>
      <c r="C321" s="16">
        <v>45919</v>
      </c>
      <c r="D321" s="17"/>
      <c r="E321" s="35">
        <f t="shared" si="7"/>
        <v>45919</v>
      </c>
      <c r="F321" s="23">
        <v>45901</v>
      </c>
      <c r="G321" s="11" t="s">
        <v>860</v>
      </c>
      <c r="H321" s="7" t="s">
        <v>305</v>
      </c>
      <c r="I321" s="17" t="s">
        <v>503</v>
      </c>
      <c r="J321" s="27" t="s">
        <v>266</v>
      </c>
      <c r="K321" s="21">
        <v>25000</v>
      </c>
      <c r="L321" s="24">
        <v>4500</v>
      </c>
      <c r="M321" s="24">
        <v>29500</v>
      </c>
      <c r="N321" s="24">
        <v>250</v>
      </c>
      <c r="O321" s="24">
        <v>29250</v>
      </c>
      <c r="P321" s="9" t="s">
        <v>26</v>
      </c>
      <c r="Q321" s="12" t="s">
        <v>241</v>
      </c>
      <c r="T321" s="8">
        <f t="shared" si="6"/>
        <v>29500</v>
      </c>
    </row>
    <row r="322" spans="2:20" x14ac:dyDescent="0.35">
      <c r="B322" s="15">
        <v>325</v>
      </c>
      <c r="C322" s="16">
        <v>45919</v>
      </c>
      <c r="D322" s="17"/>
      <c r="E322" s="35">
        <f t="shared" si="7"/>
        <v>45919</v>
      </c>
      <c r="F322" s="23">
        <v>45901</v>
      </c>
      <c r="G322" s="11" t="s">
        <v>860</v>
      </c>
      <c r="H322" s="7" t="s">
        <v>120</v>
      </c>
      <c r="I322" s="17" t="s">
        <v>504</v>
      </c>
      <c r="J322" s="10" t="s">
        <v>92</v>
      </c>
      <c r="K322" s="21">
        <v>5965</v>
      </c>
      <c r="L322" s="24"/>
      <c r="M322" s="24">
        <v>5965</v>
      </c>
      <c r="N322" s="24"/>
      <c r="O322" s="24">
        <v>5965</v>
      </c>
      <c r="P322" s="9" t="s">
        <v>26</v>
      </c>
      <c r="Q322" s="12" t="s">
        <v>93</v>
      </c>
      <c r="T322" s="8">
        <f t="shared" si="6"/>
        <v>5965</v>
      </c>
    </row>
    <row r="323" spans="2:20" x14ac:dyDescent="0.35">
      <c r="B323" s="15">
        <v>326</v>
      </c>
      <c r="C323" s="16">
        <v>45919</v>
      </c>
      <c r="D323" s="17"/>
      <c r="E323" s="35">
        <f t="shared" si="7"/>
        <v>45919</v>
      </c>
      <c r="F323" s="23">
        <v>45870</v>
      </c>
      <c r="G323" s="11" t="s">
        <v>860</v>
      </c>
      <c r="H323" s="7" t="s">
        <v>23</v>
      </c>
      <c r="I323" s="17" t="s">
        <v>505</v>
      </c>
      <c r="J323" s="18" t="s">
        <v>46</v>
      </c>
      <c r="K323" s="21">
        <v>6456.5</v>
      </c>
      <c r="L323" s="24">
        <v>1095.5999999999999</v>
      </c>
      <c r="M323" s="24">
        <v>7552.1</v>
      </c>
      <c r="N323" s="24"/>
      <c r="O323" s="24">
        <v>7552</v>
      </c>
      <c r="P323" s="9" t="s">
        <v>26</v>
      </c>
      <c r="Q323" s="20" t="s">
        <v>47</v>
      </c>
      <c r="T323" s="8">
        <f t="shared" ref="T323:T386" si="8">N323+O323</f>
        <v>7552</v>
      </c>
    </row>
    <row r="324" spans="2:20" x14ac:dyDescent="0.35">
      <c r="B324" s="15">
        <v>327</v>
      </c>
      <c r="C324" s="16">
        <v>45923</v>
      </c>
      <c r="D324" s="17"/>
      <c r="E324" s="35">
        <f t="shared" si="7"/>
        <v>45923</v>
      </c>
      <c r="F324" s="23">
        <v>45901</v>
      </c>
      <c r="G324" s="11" t="s">
        <v>860</v>
      </c>
      <c r="H324" s="27" t="s">
        <v>506</v>
      </c>
      <c r="I324" s="17" t="s">
        <v>507</v>
      </c>
      <c r="J324" s="10" t="s">
        <v>122</v>
      </c>
      <c r="K324" s="21">
        <v>46975.59</v>
      </c>
      <c r="L324" s="24">
        <v>8455.6061999999984</v>
      </c>
      <c r="M324" s="24">
        <v>55431.196199999991</v>
      </c>
      <c r="N324" s="24"/>
      <c r="O324" s="24">
        <v>55431.196199999998</v>
      </c>
      <c r="P324" s="9" t="s">
        <v>26</v>
      </c>
      <c r="Q324" s="12" t="s">
        <v>20</v>
      </c>
      <c r="T324" s="8">
        <f t="shared" si="8"/>
        <v>55431.196199999998</v>
      </c>
    </row>
    <row r="325" spans="2:20" x14ac:dyDescent="0.35">
      <c r="B325" s="15">
        <v>328</v>
      </c>
      <c r="C325" s="16">
        <v>45923</v>
      </c>
      <c r="D325" s="17"/>
      <c r="E325" s="35">
        <f t="shared" si="7"/>
        <v>45923</v>
      </c>
      <c r="F325" s="23">
        <v>45901</v>
      </c>
      <c r="G325" s="11" t="s">
        <v>860</v>
      </c>
      <c r="H325" s="27" t="s">
        <v>133</v>
      </c>
      <c r="I325" s="17" t="s">
        <v>508</v>
      </c>
      <c r="J325" s="27" t="s">
        <v>92</v>
      </c>
      <c r="K325" s="21">
        <v>19910</v>
      </c>
      <c r="L325" s="24">
        <v>3583.7999999999997</v>
      </c>
      <c r="M325" s="24">
        <v>23493.8</v>
      </c>
      <c r="N325" s="24"/>
      <c r="O325" s="24">
        <v>23493.8</v>
      </c>
      <c r="P325" s="9" t="s">
        <v>26</v>
      </c>
      <c r="Q325" s="37" t="s">
        <v>93</v>
      </c>
      <c r="T325" s="8">
        <f t="shared" si="8"/>
        <v>23493.8</v>
      </c>
    </row>
    <row r="326" spans="2:20" ht="28.5" x14ac:dyDescent="0.35">
      <c r="B326" s="15">
        <v>329</v>
      </c>
      <c r="C326" s="16">
        <v>45923</v>
      </c>
      <c r="D326" s="17"/>
      <c r="E326" s="35">
        <f t="shared" si="7"/>
        <v>45923</v>
      </c>
      <c r="F326" s="23">
        <v>45901</v>
      </c>
      <c r="G326" s="11" t="s">
        <v>860</v>
      </c>
      <c r="H326" s="7" t="s">
        <v>16</v>
      </c>
      <c r="I326" s="28" t="s">
        <v>509</v>
      </c>
      <c r="J326" s="18" t="s">
        <v>18</v>
      </c>
      <c r="K326" s="21">
        <v>17000</v>
      </c>
      <c r="L326" s="24">
        <v>3060</v>
      </c>
      <c r="M326" s="24">
        <v>20060</v>
      </c>
      <c r="N326" s="24">
        <v>170</v>
      </c>
      <c r="O326" s="24">
        <v>11390</v>
      </c>
      <c r="P326" s="9" t="s">
        <v>26</v>
      </c>
      <c r="Q326" s="20" t="s">
        <v>20</v>
      </c>
      <c r="T326" s="8">
        <f t="shared" si="8"/>
        <v>11560</v>
      </c>
    </row>
    <row r="327" spans="2:20" x14ac:dyDescent="0.35">
      <c r="B327" s="15">
        <v>330</v>
      </c>
      <c r="C327" s="16">
        <v>45923</v>
      </c>
      <c r="D327" s="17"/>
      <c r="E327" s="35">
        <f t="shared" si="7"/>
        <v>45923</v>
      </c>
      <c r="F327" s="23">
        <v>45901</v>
      </c>
      <c r="G327" s="11" t="s">
        <v>860</v>
      </c>
      <c r="H327" s="27" t="s">
        <v>480</v>
      </c>
      <c r="I327" s="17" t="s">
        <v>510</v>
      </c>
      <c r="J327" s="27" t="s">
        <v>92</v>
      </c>
      <c r="K327" s="21">
        <v>36000</v>
      </c>
      <c r="L327" s="24">
        <v>6480</v>
      </c>
      <c r="M327" s="24">
        <v>42480</v>
      </c>
      <c r="N327" s="24"/>
      <c r="O327" s="24">
        <v>24480</v>
      </c>
      <c r="P327" s="9" t="s">
        <v>26</v>
      </c>
      <c r="Q327" s="12" t="s">
        <v>241</v>
      </c>
      <c r="T327" s="8">
        <f t="shared" si="8"/>
        <v>24480</v>
      </c>
    </row>
    <row r="328" spans="2:20" x14ac:dyDescent="0.35">
      <c r="B328" s="15">
        <v>331</v>
      </c>
      <c r="C328" s="16">
        <v>45923</v>
      </c>
      <c r="D328" s="17"/>
      <c r="E328" s="35">
        <f t="shared" si="7"/>
        <v>45923</v>
      </c>
      <c r="F328" s="23">
        <v>45901</v>
      </c>
      <c r="G328" s="11" t="s">
        <v>860</v>
      </c>
      <c r="H328" s="27" t="s">
        <v>28</v>
      </c>
      <c r="I328" s="17" t="s">
        <v>511</v>
      </c>
      <c r="J328" s="27" t="s">
        <v>92</v>
      </c>
      <c r="K328" s="21">
        <v>5150</v>
      </c>
      <c r="L328" s="24">
        <v>927</v>
      </c>
      <c r="M328" s="24">
        <v>6077</v>
      </c>
      <c r="N328" s="24">
        <v>51.5</v>
      </c>
      <c r="O328" s="24">
        <v>6025.5</v>
      </c>
      <c r="P328" s="9" t="s">
        <v>26</v>
      </c>
      <c r="Q328" s="37" t="s">
        <v>31</v>
      </c>
      <c r="T328" s="8">
        <f t="shared" si="8"/>
        <v>6077</v>
      </c>
    </row>
    <row r="329" spans="2:20" x14ac:dyDescent="0.35">
      <c r="B329" s="15">
        <v>332</v>
      </c>
      <c r="C329" s="16">
        <v>45923</v>
      </c>
      <c r="D329" s="17"/>
      <c r="E329" s="35">
        <f t="shared" si="7"/>
        <v>45923</v>
      </c>
      <c r="F329" s="23">
        <v>45901</v>
      </c>
      <c r="G329" s="11" t="s">
        <v>860</v>
      </c>
      <c r="H329" s="27" t="s">
        <v>512</v>
      </c>
      <c r="I329" s="17" t="s">
        <v>513</v>
      </c>
      <c r="J329" s="27" t="s">
        <v>514</v>
      </c>
      <c r="K329" s="21">
        <v>12000</v>
      </c>
      <c r="L329" s="24"/>
      <c r="M329" s="24">
        <v>12000</v>
      </c>
      <c r="N329" s="24"/>
      <c r="O329" s="24">
        <v>12000</v>
      </c>
      <c r="P329" s="9" t="s">
        <v>26</v>
      </c>
      <c r="Q329" s="12" t="s">
        <v>241</v>
      </c>
      <c r="T329" s="8">
        <f t="shared" si="8"/>
        <v>12000</v>
      </c>
    </row>
    <row r="330" spans="2:20" x14ac:dyDescent="0.35">
      <c r="B330" s="15">
        <v>333</v>
      </c>
      <c r="C330" s="16">
        <v>45923</v>
      </c>
      <c r="D330" s="17"/>
      <c r="E330" s="35">
        <f t="shared" si="7"/>
        <v>45923</v>
      </c>
      <c r="F330" s="23">
        <v>45901</v>
      </c>
      <c r="G330" s="11" t="s">
        <v>860</v>
      </c>
      <c r="H330" s="27" t="s">
        <v>515</v>
      </c>
      <c r="I330" s="17" t="s">
        <v>516</v>
      </c>
      <c r="J330" s="27" t="s">
        <v>266</v>
      </c>
      <c r="K330" s="21">
        <v>8500</v>
      </c>
      <c r="L330" s="24">
        <v>1530</v>
      </c>
      <c r="M330" s="24">
        <v>10030</v>
      </c>
      <c r="N330" s="24"/>
      <c r="O330" s="24">
        <v>10030</v>
      </c>
      <c r="P330" s="9" t="s">
        <v>26</v>
      </c>
      <c r="Q330" s="12" t="s">
        <v>241</v>
      </c>
      <c r="T330" s="8">
        <f t="shared" si="8"/>
        <v>10030</v>
      </c>
    </row>
    <row r="331" spans="2:20" x14ac:dyDescent="0.35">
      <c r="B331" s="15">
        <v>334</v>
      </c>
      <c r="C331" s="16">
        <v>45923</v>
      </c>
      <c r="D331" s="17"/>
      <c r="E331" s="35">
        <f t="shared" si="7"/>
        <v>45923</v>
      </c>
      <c r="F331" s="23">
        <v>45901</v>
      </c>
      <c r="G331" s="11" t="s">
        <v>860</v>
      </c>
      <c r="H331" s="7" t="s">
        <v>83</v>
      </c>
      <c r="I331" s="17" t="s">
        <v>517</v>
      </c>
      <c r="J331" s="10" t="s">
        <v>85</v>
      </c>
      <c r="K331" s="21">
        <v>352605</v>
      </c>
      <c r="L331" s="24">
        <v>63468.899999999994</v>
      </c>
      <c r="M331" s="24">
        <v>416073.9</v>
      </c>
      <c r="N331" s="24">
        <v>7052.1</v>
      </c>
      <c r="O331" s="24">
        <v>409021.80000000005</v>
      </c>
      <c r="P331" s="9" t="s">
        <v>41</v>
      </c>
      <c r="Q331" s="12" t="s">
        <v>27</v>
      </c>
      <c r="T331" s="8">
        <f t="shared" si="8"/>
        <v>416073.9</v>
      </c>
    </row>
    <row r="332" spans="2:20" ht="15" thickBot="1" x14ac:dyDescent="0.4">
      <c r="B332" s="15">
        <v>335</v>
      </c>
      <c r="C332" s="40">
        <v>45917</v>
      </c>
      <c r="D332" s="41"/>
      <c r="E332" s="44">
        <f t="shared" si="7"/>
        <v>45917</v>
      </c>
      <c r="F332" s="22">
        <v>45870</v>
      </c>
      <c r="G332" s="11" t="s">
        <v>860</v>
      </c>
      <c r="H332" s="7" t="s">
        <v>145</v>
      </c>
      <c r="I332" s="41" t="s">
        <v>518</v>
      </c>
      <c r="J332" s="10" t="s">
        <v>147</v>
      </c>
      <c r="K332" s="42">
        <v>874380</v>
      </c>
      <c r="L332" s="43"/>
      <c r="M332" s="43">
        <v>874380</v>
      </c>
      <c r="N332" s="43"/>
      <c r="O332" s="43">
        <v>874380</v>
      </c>
      <c r="P332" s="9" t="s">
        <v>41</v>
      </c>
      <c r="Q332" s="12" t="s">
        <v>93</v>
      </c>
      <c r="T332" s="8">
        <f t="shared" si="8"/>
        <v>874380</v>
      </c>
    </row>
    <row r="333" spans="2:20" ht="28.5" x14ac:dyDescent="0.35">
      <c r="B333" s="15">
        <v>336</v>
      </c>
      <c r="C333" s="45">
        <v>45933</v>
      </c>
      <c r="D333" s="10" t="s">
        <v>519</v>
      </c>
      <c r="E333" s="29">
        <v>45938</v>
      </c>
      <c r="F333" s="14">
        <v>45931</v>
      </c>
      <c r="G333" s="30" t="s">
        <v>857</v>
      </c>
      <c r="H333" s="7" t="s">
        <v>116</v>
      </c>
      <c r="I333" s="7" t="s">
        <v>520</v>
      </c>
      <c r="J333" s="10" t="s">
        <v>521</v>
      </c>
      <c r="K333" s="31">
        <v>200325</v>
      </c>
      <c r="L333" s="31">
        <v>36059</v>
      </c>
      <c r="M333" s="31">
        <v>236384</v>
      </c>
      <c r="N333" s="31">
        <v>2003</v>
      </c>
      <c r="O333" s="31">
        <v>98159</v>
      </c>
      <c r="P333" s="9" t="s">
        <v>41</v>
      </c>
      <c r="Q333" s="12" t="s">
        <v>47</v>
      </c>
      <c r="T333" s="8">
        <f t="shared" si="8"/>
        <v>100162</v>
      </c>
    </row>
    <row r="334" spans="2:20" x14ac:dyDescent="0.35">
      <c r="B334" s="15">
        <v>337</v>
      </c>
      <c r="C334" s="45">
        <v>45928</v>
      </c>
      <c r="D334" s="10">
        <v>1</v>
      </c>
      <c r="E334" s="29">
        <v>45938</v>
      </c>
      <c r="F334" s="14">
        <v>45931</v>
      </c>
      <c r="G334" s="30" t="s">
        <v>857</v>
      </c>
      <c r="H334" s="7" t="s">
        <v>120</v>
      </c>
      <c r="I334" s="7" t="s">
        <v>522</v>
      </c>
      <c r="J334" s="10" t="s">
        <v>92</v>
      </c>
      <c r="K334" s="31">
        <v>12360</v>
      </c>
      <c r="L334" s="31"/>
      <c r="M334" s="31">
        <v>12360</v>
      </c>
      <c r="N334" s="31"/>
      <c r="O334" s="31">
        <v>12360</v>
      </c>
      <c r="P334" s="9" t="s">
        <v>26</v>
      </c>
      <c r="Q334" s="12" t="s">
        <v>93</v>
      </c>
      <c r="T334" s="8">
        <f t="shared" si="8"/>
        <v>12360</v>
      </c>
    </row>
    <row r="335" spans="2:20" x14ac:dyDescent="0.35">
      <c r="B335" s="15">
        <v>338</v>
      </c>
      <c r="C335" s="45">
        <v>45927</v>
      </c>
      <c r="D335" s="10">
        <v>1</v>
      </c>
      <c r="E335" s="29">
        <v>45955</v>
      </c>
      <c r="F335" s="14">
        <v>45931</v>
      </c>
      <c r="G335" s="30" t="s">
        <v>857</v>
      </c>
      <c r="H335" s="7" t="s">
        <v>523</v>
      </c>
      <c r="I335" s="7" t="s">
        <v>524</v>
      </c>
      <c r="J335" s="10" t="s">
        <v>92</v>
      </c>
      <c r="K335" s="31">
        <v>3210</v>
      </c>
      <c r="L335" s="31"/>
      <c r="M335" s="31">
        <v>3210</v>
      </c>
      <c r="N335" s="31"/>
      <c r="O335" s="31">
        <v>3210</v>
      </c>
      <c r="P335" s="9" t="s">
        <v>26</v>
      </c>
      <c r="Q335" s="12" t="s">
        <v>93</v>
      </c>
      <c r="T335" s="8">
        <f t="shared" si="8"/>
        <v>3210</v>
      </c>
    </row>
    <row r="336" spans="2:20" x14ac:dyDescent="0.35">
      <c r="B336" s="15">
        <v>339</v>
      </c>
      <c r="C336" s="45"/>
      <c r="D336" s="10"/>
      <c r="E336" s="29">
        <v>45938</v>
      </c>
      <c r="F336" s="14">
        <v>45931</v>
      </c>
      <c r="G336" s="30" t="s">
        <v>857</v>
      </c>
      <c r="H336" s="7" t="s">
        <v>525</v>
      </c>
      <c r="I336" s="7" t="s">
        <v>526</v>
      </c>
      <c r="J336" s="10" t="s">
        <v>527</v>
      </c>
      <c r="K336" s="31">
        <v>6000</v>
      </c>
      <c r="L336" s="31"/>
      <c r="M336" s="31">
        <v>6000</v>
      </c>
      <c r="N336" s="31"/>
      <c r="O336" s="31">
        <v>6000</v>
      </c>
      <c r="P336" s="9" t="s">
        <v>26</v>
      </c>
      <c r="Q336" s="12" t="s">
        <v>241</v>
      </c>
      <c r="T336" s="8">
        <f t="shared" si="8"/>
        <v>6000</v>
      </c>
    </row>
    <row r="337" spans="2:20" ht="28.5" x14ac:dyDescent="0.35">
      <c r="B337" s="15">
        <v>340</v>
      </c>
      <c r="C337" s="45">
        <v>45933</v>
      </c>
      <c r="D337" s="10" t="s">
        <v>370</v>
      </c>
      <c r="E337" s="29">
        <v>45940</v>
      </c>
      <c r="F337" s="14">
        <v>45931</v>
      </c>
      <c r="G337" s="30" t="s">
        <v>857</v>
      </c>
      <c r="H337" s="7" t="s">
        <v>453</v>
      </c>
      <c r="I337" s="7" t="s">
        <v>528</v>
      </c>
      <c r="J337" s="10" t="s">
        <v>483</v>
      </c>
      <c r="K337" s="31">
        <v>447745</v>
      </c>
      <c r="L337" s="31">
        <v>80594</v>
      </c>
      <c r="M337" s="31">
        <v>528339</v>
      </c>
      <c r="N337" s="31"/>
      <c r="O337" s="31">
        <v>134324</v>
      </c>
      <c r="P337" s="9" t="s">
        <v>19</v>
      </c>
      <c r="Q337" s="12" t="s">
        <v>27</v>
      </c>
      <c r="T337" s="8">
        <f t="shared" si="8"/>
        <v>134324</v>
      </c>
    </row>
    <row r="338" spans="2:20" ht="28.5" x14ac:dyDescent="0.35">
      <c r="B338" s="15">
        <v>341</v>
      </c>
      <c r="C338" s="45">
        <v>45933</v>
      </c>
      <c r="D338" s="10" t="s">
        <v>529</v>
      </c>
      <c r="E338" s="29">
        <v>45940</v>
      </c>
      <c r="F338" s="14">
        <v>45931</v>
      </c>
      <c r="G338" s="30" t="s">
        <v>857</v>
      </c>
      <c r="H338" s="7" t="s">
        <v>453</v>
      </c>
      <c r="I338" s="7" t="s">
        <v>530</v>
      </c>
      <c r="J338" s="10" t="s">
        <v>455</v>
      </c>
      <c r="K338" s="31">
        <v>791475</v>
      </c>
      <c r="L338" s="31">
        <v>142466</v>
      </c>
      <c r="M338" s="31">
        <v>933941</v>
      </c>
      <c r="N338" s="31"/>
      <c r="O338" s="31">
        <v>237443</v>
      </c>
      <c r="P338" s="9" t="s">
        <v>19</v>
      </c>
      <c r="Q338" s="12" t="s">
        <v>27</v>
      </c>
      <c r="T338" s="8">
        <f t="shared" si="8"/>
        <v>237443</v>
      </c>
    </row>
    <row r="339" spans="2:20" ht="28.5" x14ac:dyDescent="0.35">
      <c r="B339" s="15">
        <v>342</v>
      </c>
      <c r="C339" s="45">
        <v>45940</v>
      </c>
      <c r="D339" s="46" t="s">
        <v>531</v>
      </c>
      <c r="E339" s="29">
        <v>45942</v>
      </c>
      <c r="F339" s="32">
        <v>45931</v>
      </c>
      <c r="G339" s="30" t="s">
        <v>857</v>
      </c>
      <c r="H339" s="7" t="s">
        <v>532</v>
      </c>
      <c r="I339" s="7" t="s">
        <v>533</v>
      </c>
      <c r="J339" s="10" t="s">
        <v>534</v>
      </c>
      <c r="K339" s="31">
        <v>349800</v>
      </c>
      <c r="L339" s="31">
        <v>62964</v>
      </c>
      <c r="M339" s="31">
        <v>412764</v>
      </c>
      <c r="N339" s="31">
        <v>3498</v>
      </c>
      <c r="O339" s="31">
        <v>276342</v>
      </c>
      <c r="P339" s="9" t="s">
        <v>26</v>
      </c>
      <c r="Q339" s="12" t="s">
        <v>27</v>
      </c>
      <c r="T339" s="8">
        <f t="shared" si="8"/>
        <v>279840</v>
      </c>
    </row>
    <row r="340" spans="2:20" ht="28.5" x14ac:dyDescent="0.35">
      <c r="B340" s="15">
        <v>343</v>
      </c>
      <c r="C340" s="45">
        <v>45939</v>
      </c>
      <c r="D340" s="10">
        <v>7</v>
      </c>
      <c r="E340" s="29">
        <v>45942</v>
      </c>
      <c r="F340" s="14">
        <v>45931</v>
      </c>
      <c r="G340" s="30" t="s">
        <v>857</v>
      </c>
      <c r="H340" s="7" t="s">
        <v>80</v>
      </c>
      <c r="I340" s="7" t="s">
        <v>535</v>
      </c>
      <c r="J340" s="10" t="s">
        <v>536</v>
      </c>
      <c r="K340" s="31">
        <v>505000</v>
      </c>
      <c r="L340" s="31">
        <v>90900</v>
      </c>
      <c r="M340" s="31">
        <v>595900</v>
      </c>
      <c r="N340" s="31">
        <v>10100</v>
      </c>
      <c r="O340" s="31">
        <v>333300</v>
      </c>
      <c r="P340" s="9" t="s">
        <v>19</v>
      </c>
      <c r="Q340" s="12" t="s">
        <v>27</v>
      </c>
      <c r="T340" s="8">
        <f t="shared" si="8"/>
        <v>343400</v>
      </c>
    </row>
    <row r="341" spans="2:20" x14ac:dyDescent="0.35">
      <c r="B341" s="15">
        <v>344</v>
      </c>
      <c r="C341" s="45">
        <v>45936</v>
      </c>
      <c r="D341" s="10" t="s">
        <v>537</v>
      </c>
      <c r="E341" s="29">
        <v>45945</v>
      </c>
      <c r="F341" s="14">
        <v>45901</v>
      </c>
      <c r="G341" s="11" t="s">
        <v>860</v>
      </c>
      <c r="H341" s="7" t="s">
        <v>69</v>
      </c>
      <c r="I341" s="7" t="s">
        <v>435</v>
      </c>
      <c r="J341" s="10" t="s">
        <v>71</v>
      </c>
      <c r="K341" s="31">
        <v>1646567</v>
      </c>
      <c r="L341" s="31">
        <v>296382</v>
      </c>
      <c r="M341" s="31">
        <v>1942949</v>
      </c>
      <c r="N341" s="31">
        <v>32931</v>
      </c>
      <c r="O341" s="31">
        <v>1910017</v>
      </c>
      <c r="P341" s="9" t="s">
        <v>41</v>
      </c>
      <c r="Q341" s="12" t="s">
        <v>31</v>
      </c>
      <c r="T341" s="8">
        <f t="shared" si="8"/>
        <v>1942948</v>
      </c>
    </row>
    <row r="342" spans="2:20" x14ac:dyDescent="0.35">
      <c r="B342" s="15">
        <v>345</v>
      </c>
      <c r="C342" s="45">
        <v>45936</v>
      </c>
      <c r="D342" s="10" t="s">
        <v>538</v>
      </c>
      <c r="E342" s="29">
        <v>45942</v>
      </c>
      <c r="F342" s="14">
        <v>45901</v>
      </c>
      <c r="G342" s="11" t="s">
        <v>860</v>
      </c>
      <c r="H342" s="7" t="s">
        <v>69</v>
      </c>
      <c r="I342" s="7" t="s">
        <v>433</v>
      </c>
      <c r="J342" s="10" t="s">
        <v>71</v>
      </c>
      <c r="K342" s="31">
        <v>43411</v>
      </c>
      <c r="L342" s="31">
        <v>7814</v>
      </c>
      <c r="M342" s="31">
        <v>51225</v>
      </c>
      <c r="N342" s="31">
        <v>868</v>
      </c>
      <c r="O342" s="31">
        <v>50357</v>
      </c>
      <c r="P342" s="9" t="s">
        <v>41</v>
      </c>
      <c r="Q342" s="12" t="s">
        <v>31</v>
      </c>
      <c r="T342" s="8">
        <f t="shared" si="8"/>
        <v>51225</v>
      </c>
    </row>
    <row r="343" spans="2:20" x14ac:dyDescent="0.35">
      <c r="B343" s="15">
        <v>346</v>
      </c>
      <c r="C343" s="45">
        <v>45936</v>
      </c>
      <c r="D343" s="10" t="s">
        <v>539</v>
      </c>
      <c r="E343" s="29">
        <v>45942</v>
      </c>
      <c r="F343" s="14">
        <v>45901</v>
      </c>
      <c r="G343" s="11" t="s">
        <v>860</v>
      </c>
      <c r="H343" s="7" t="s">
        <v>69</v>
      </c>
      <c r="I343" s="7" t="s">
        <v>434</v>
      </c>
      <c r="J343" s="10" t="s">
        <v>71</v>
      </c>
      <c r="K343" s="31">
        <v>161644</v>
      </c>
      <c r="L343" s="31">
        <v>29096</v>
      </c>
      <c r="M343" s="31">
        <v>190739</v>
      </c>
      <c r="N343" s="31">
        <v>3233</v>
      </c>
      <c r="O343" s="31">
        <v>187507</v>
      </c>
      <c r="P343" s="9" t="s">
        <v>41</v>
      </c>
      <c r="Q343" s="12" t="s">
        <v>31</v>
      </c>
      <c r="T343" s="8">
        <f t="shared" si="8"/>
        <v>190740</v>
      </c>
    </row>
    <row r="344" spans="2:20" x14ac:dyDescent="0.35">
      <c r="B344" s="15">
        <v>347</v>
      </c>
      <c r="C344" s="45">
        <v>45936</v>
      </c>
      <c r="D344" s="10">
        <v>59</v>
      </c>
      <c r="E344" s="29">
        <v>45942</v>
      </c>
      <c r="F344" s="14">
        <v>45931</v>
      </c>
      <c r="G344" s="30" t="s">
        <v>857</v>
      </c>
      <c r="H344" s="7" t="s">
        <v>540</v>
      </c>
      <c r="I344" s="7" t="s">
        <v>541</v>
      </c>
      <c r="J344" s="10" t="s">
        <v>542</v>
      </c>
      <c r="K344" s="31">
        <v>95000</v>
      </c>
      <c r="L344" s="31">
        <v>17100</v>
      </c>
      <c r="M344" s="31">
        <v>112100</v>
      </c>
      <c r="N344" s="31"/>
      <c r="O344" s="31">
        <v>112100</v>
      </c>
      <c r="P344" s="9" t="s">
        <v>19</v>
      </c>
      <c r="Q344" s="12" t="s">
        <v>27</v>
      </c>
      <c r="T344" s="8">
        <f t="shared" si="8"/>
        <v>112100</v>
      </c>
    </row>
    <row r="345" spans="2:20" x14ac:dyDescent="0.35">
      <c r="B345" s="15">
        <v>348</v>
      </c>
      <c r="C345" s="45">
        <v>45936</v>
      </c>
      <c r="D345" s="10" t="s">
        <v>543</v>
      </c>
      <c r="E345" s="29">
        <v>45942</v>
      </c>
      <c r="F345" s="14">
        <v>45931</v>
      </c>
      <c r="G345" s="30" t="s">
        <v>857</v>
      </c>
      <c r="H345" s="7" t="s">
        <v>49</v>
      </c>
      <c r="I345" s="7" t="s">
        <v>544</v>
      </c>
      <c r="J345" s="10" t="s">
        <v>361</v>
      </c>
      <c r="K345" s="31">
        <v>16330</v>
      </c>
      <c r="L345" s="31">
        <v>2939</v>
      </c>
      <c r="M345" s="31">
        <v>19269</v>
      </c>
      <c r="N345" s="31">
        <v>163</v>
      </c>
      <c r="O345" s="31">
        <v>19106</v>
      </c>
      <c r="P345" s="9" t="s">
        <v>26</v>
      </c>
      <c r="Q345" s="12" t="s">
        <v>31</v>
      </c>
      <c r="T345" s="8">
        <f t="shared" si="8"/>
        <v>19269</v>
      </c>
    </row>
    <row r="346" spans="2:20" x14ac:dyDescent="0.35">
      <c r="B346" s="15">
        <v>349</v>
      </c>
      <c r="C346" s="45">
        <v>45936</v>
      </c>
      <c r="D346" s="10">
        <v>33</v>
      </c>
      <c r="E346" s="29">
        <v>45942</v>
      </c>
      <c r="F346" s="14">
        <v>45870</v>
      </c>
      <c r="G346" s="11" t="s">
        <v>860</v>
      </c>
      <c r="H346" s="7" t="s">
        <v>152</v>
      </c>
      <c r="I346" s="7" t="s">
        <v>545</v>
      </c>
      <c r="J346" s="18" t="s">
        <v>154</v>
      </c>
      <c r="K346" s="31">
        <v>448767</v>
      </c>
      <c r="L346" s="31">
        <v>80778</v>
      </c>
      <c r="M346" s="31">
        <v>529545</v>
      </c>
      <c r="N346" s="31">
        <v>4488</v>
      </c>
      <c r="O346" s="31">
        <v>525057</v>
      </c>
      <c r="P346" s="9" t="s">
        <v>41</v>
      </c>
      <c r="Q346" s="20" t="s">
        <v>155</v>
      </c>
      <c r="T346" s="8">
        <f t="shared" si="8"/>
        <v>529545</v>
      </c>
    </row>
    <row r="347" spans="2:20" x14ac:dyDescent="0.35">
      <c r="B347" s="15">
        <v>350</v>
      </c>
      <c r="C347" s="45">
        <v>45931</v>
      </c>
      <c r="D347" s="10" t="s">
        <v>546</v>
      </c>
      <c r="E347" s="29">
        <v>45942</v>
      </c>
      <c r="F347" s="14">
        <v>45931</v>
      </c>
      <c r="G347" s="11" t="s">
        <v>860</v>
      </c>
      <c r="H347" s="7" t="s">
        <v>64</v>
      </c>
      <c r="I347" s="7" t="s">
        <v>547</v>
      </c>
      <c r="J347" s="10" t="s">
        <v>66</v>
      </c>
      <c r="K347" s="31">
        <v>106000</v>
      </c>
      <c r="L347" s="31">
        <v>19080</v>
      </c>
      <c r="M347" s="31">
        <v>125080</v>
      </c>
      <c r="N347" s="31">
        <v>1060</v>
      </c>
      <c r="O347" s="31">
        <v>124020</v>
      </c>
      <c r="P347" s="9" t="s">
        <v>41</v>
      </c>
      <c r="Q347" s="12" t="s">
        <v>67</v>
      </c>
      <c r="T347" s="8">
        <f t="shared" si="8"/>
        <v>125080</v>
      </c>
    </row>
    <row r="348" spans="2:20" x14ac:dyDescent="0.35">
      <c r="B348" s="15">
        <v>351</v>
      </c>
      <c r="C348" s="45">
        <v>45940</v>
      </c>
      <c r="D348" s="10" t="s">
        <v>548</v>
      </c>
      <c r="E348" s="29">
        <v>45944</v>
      </c>
      <c r="F348" s="14">
        <v>45931</v>
      </c>
      <c r="G348" s="30" t="s">
        <v>857</v>
      </c>
      <c r="H348" s="7" t="s">
        <v>549</v>
      </c>
      <c r="I348" s="7" t="s">
        <v>550</v>
      </c>
      <c r="J348" s="10" t="s">
        <v>551</v>
      </c>
      <c r="K348" s="31">
        <v>43000</v>
      </c>
      <c r="L348" s="31">
        <v>7740</v>
      </c>
      <c r="M348" s="31">
        <v>50740</v>
      </c>
      <c r="N348" s="31">
        <v>430</v>
      </c>
      <c r="O348" s="31">
        <v>21070</v>
      </c>
      <c r="P348" s="9"/>
      <c r="Q348" s="12"/>
      <c r="T348" s="8">
        <f t="shared" si="8"/>
        <v>21500</v>
      </c>
    </row>
    <row r="349" spans="2:20" x14ac:dyDescent="0.35">
      <c r="B349" s="15">
        <v>352</v>
      </c>
      <c r="C349" s="45">
        <v>45940</v>
      </c>
      <c r="D349" s="10" t="s">
        <v>548</v>
      </c>
      <c r="E349" s="29">
        <v>45944</v>
      </c>
      <c r="F349" s="14">
        <v>45931</v>
      </c>
      <c r="G349" s="30" t="s">
        <v>857</v>
      </c>
      <c r="H349" s="7" t="s">
        <v>549</v>
      </c>
      <c r="I349" s="7" t="s">
        <v>552</v>
      </c>
      <c r="J349" s="10" t="s">
        <v>551</v>
      </c>
      <c r="K349" s="31">
        <v>43000</v>
      </c>
      <c r="L349" s="31">
        <v>7740</v>
      </c>
      <c r="M349" s="31">
        <v>50740</v>
      </c>
      <c r="N349" s="31">
        <v>430</v>
      </c>
      <c r="O349" s="31">
        <v>21070</v>
      </c>
      <c r="P349" s="9"/>
      <c r="Q349" s="12"/>
      <c r="T349" s="8">
        <f t="shared" si="8"/>
        <v>21500</v>
      </c>
    </row>
    <row r="350" spans="2:20" x14ac:dyDescent="0.35">
      <c r="B350" s="15">
        <v>353</v>
      </c>
      <c r="C350" s="45">
        <v>45940</v>
      </c>
      <c r="D350" s="10" t="s">
        <v>548</v>
      </c>
      <c r="E350" s="29">
        <v>45944</v>
      </c>
      <c r="F350" s="14">
        <v>45931</v>
      </c>
      <c r="G350" s="30" t="s">
        <v>857</v>
      </c>
      <c r="H350" s="7" t="s">
        <v>549</v>
      </c>
      <c r="I350" s="7" t="s">
        <v>553</v>
      </c>
      <c r="J350" s="10" t="s">
        <v>551</v>
      </c>
      <c r="K350" s="31">
        <v>10000</v>
      </c>
      <c r="L350" s="31">
        <v>1800</v>
      </c>
      <c r="M350" s="31">
        <v>11800</v>
      </c>
      <c r="N350" s="31">
        <v>100</v>
      </c>
      <c r="O350" s="31">
        <v>4900</v>
      </c>
      <c r="P350" s="9"/>
      <c r="Q350" s="12"/>
      <c r="T350" s="8">
        <f t="shared" si="8"/>
        <v>5000</v>
      </c>
    </row>
    <row r="351" spans="2:20" x14ac:dyDescent="0.35">
      <c r="B351" s="15">
        <v>354</v>
      </c>
      <c r="C351" s="45">
        <v>45934</v>
      </c>
      <c r="D351" s="10">
        <v>5874</v>
      </c>
      <c r="E351" s="29">
        <v>45944</v>
      </c>
      <c r="F351" s="14">
        <v>45931</v>
      </c>
      <c r="G351" s="30" t="s">
        <v>857</v>
      </c>
      <c r="H351" s="7" t="s">
        <v>554</v>
      </c>
      <c r="I351" s="7" t="s">
        <v>555</v>
      </c>
      <c r="J351" s="10" t="s">
        <v>556</v>
      </c>
      <c r="K351" s="31">
        <v>8625</v>
      </c>
      <c r="L351" s="31"/>
      <c r="M351" s="31">
        <v>8625</v>
      </c>
      <c r="N351" s="31"/>
      <c r="O351" s="31">
        <v>8625</v>
      </c>
      <c r="P351" s="9" t="s">
        <v>26</v>
      </c>
      <c r="Q351" s="12" t="s">
        <v>27</v>
      </c>
      <c r="T351" s="8">
        <f t="shared" si="8"/>
        <v>8625</v>
      </c>
    </row>
    <row r="352" spans="2:20" x14ac:dyDescent="0.35">
      <c r="B352" s="15">
        <v>355</v>
      </c>
      <c r="C352" s="45">
        <v>45924</v>
      </c>
      <c r="D352" s="10">
        <v>10</v>
      </c>
      <c r="E352" s="29">
        <v>45936</v>
      </c>
      <c r="F352" s="14">
        <v>45931</v>
      </c>
      <c r="G352" s="11" t="s">
        <v>860</v>
      </c>
      <c r="H352" s="7" t="s">
        <v>557</v>
      </c>
      <c r="I352" s="7" t="s">
        <v>558</v>
      </c>
      <c r="J352" s="10" t="s">
        <v>559</v>
      </c>
      <c r="K352" s="31">
        <v>53500</v>
      </c>
      <c r="L352" s="31"/>
      <c r="M352" s="31">
        <v>53500</v>
      </c>
      <c r="N352" s="31"/>
      <c r="O352" s="31">
        <v>53500</v>
      </c>
      <c r="P352" s="9" t="s">
        <v>41</v>
      </c>
      <c r="Q352" s="12" t="s">
        <v>27</v>
      </c>
      <c r="T352" s="8">
        <f t="shared" si="8"/>
        <v>53500</v>
      </c>
    </row>
    <row r="353" spans="2:20" x14ac:dyDescent="0.35">
      <c r="B353" s="15">
        <v>356</v>
      </c>
      <c r="C353" s="45">
        <v>45923</v>
      </c>
      <c r="D353" s="10" t="s">
        <v>560</v>
      </c>
      <c r="E353" s="29">
        <v>45936</v>
      </c>
      <c r="F353" s="14">
        <v>45931</v>
      </c>
      <c r="G353" s="30" t="s">
        <v>857</v>
      </c>
      <c r="H353" s="7" t="s">
        <v>138</v>
      </c>
      <c r="I353" s="7" t="s">
        <v>561</v>
      </c>
      <c r="J353" s="10" t="s">
        <v>562</v>
      </c>
      <c r="K353" s="31">
        <v>19900</v>
      </c>
      <c r="L353" s="31">
        <v>3582</v>
      </c>
      <c r="M353" s="31">
        <v>23482</v>
      </c>
      <c r="N353" s="31"/>
      <c r="O353" s="31">
        <v>23482</v>
      </c>
      <c r="P353" s="9" t="s">
        <v>19</v>
      </c>
      <c r="Q353" s="12" t="s">
        <v>27</v>
      </c>
      <c r="T353" s="8">
        <f t="shared" si="8"/>
        <v>23482</v>
      </c>
    </row>
    <row r="354" spans="2:20" x14ac:dyDescent="0.35">
      <c r="B354" s="15">
        <v>357</v>
      </c>
      <c r="C354" s="45">
        <v>45923</v>
      </c>
      <c r="D354" s="10">
        <v>1</v>
      </c>
      <c r="E354" s="29">
        <v>45936</v>
      </c>
      <c r="F354" s="14">
        <v>45931</v>
      </c>
      <c r="G354" s="30" t="s">
        <v>857</v>
      </c>
      <c r="H354" s="7" t="s">
        <v>120</v>
      </c>
      <c r="I354" s="7" t="s">
        <v>563</v>
      </c>
      <c r="J354" s="10" t="s">
        <v>122</v>
      </c>
      <c r="K354" s="31">
        <v>5430</v>
      </c>
      <c r="L354" s="31"/>
      <c r="M354" s="31">
        <v>5430</v>
      </c>
      <c r="N354" s="31"/>
      <c r="O354" s="31">
        <v>5430</v>
      </c>
      <c r="P354" s="9" t="s">
        <v>26</v>
      </c>
      <c r="Q354" s="12" t="s">
        <v>27</v>
      </c>
      <c r="T354" s="8">
        <f t="shared" si="8"/>
        <v>5430</v>
      </c>
    </row>
    <row r="355" spans="2:20" x14ac:dyDescent="0.35">
      <c r="B355" s="15">
        <v>358</v>
      </c>
      <c r="C355" s="45">
        <v>45917</v>
      </c>
      <c r="D355" s="10">
        <v>21009</v>
      </c>
      <c r="E355" s="29">
        <v>45936</v>
      </c>
      <c r="F355" s="14">
        <v>45931</v>
      </c>
      <c r="G355" s="30" t="s">
        <v>857</v>
      </c>
      <c r="H355" s="7" t="s">
        <v>200</v>
      </c>
      <c r="I355" s="7" t="s">
        <v>564</v>
      </c>
      <c r="J355" s="18" t="s">
        <v>89</v>
      </c>
      <c r="K355" s="31">
        <v>19150</v>
      </c>
      <c r="L355" s="31">
        <v>3447</v>
      </c>
      <c r="M355" s="31">
        <v>22597</v>
      </c>
      <c r="N355" s="31"/>
      <c r="O355" s="31">
        <v>22597</v>
      </c>
      <c r="P355" s="9" t="s">
        <v>41</v>
      </c>
      <c r="Q355" s="12" t="s">
        <v>67</v>
      </c>
      <c r="T355" s="8">
        <f t="shared" si="8"/>
        <v>22597</v>
      </c>
    </row>
    <row r="356" spans="2:20" x14ac:dyDescent="0.35">
      <c r="B356" s="15">
        <v>359</v>
      </c>
      <c r="C356" s="45">
        <v>45917</v>
      </c>
      <c r="D356" s="10">
        <v>1098</v>
      </c>
      <c r="E356" s="29">
        <v>45936</v>
      </c>
      <c r="F356" s="14">
        <v>45931</v>
      </c>
      <c r="G356" s="30" t="s">
        <v>857</v>
      </c>
      <c r="H356" s="7" t="s">
        <v>305</v>
      </c>
      <c r="I356" s="7" t="s">
        <v>565</v>
      </c>
      <c r="J356" s="10" t="s">
        <v>566</v>
      </c>
      <c r="K356" s="31">
        <v>12000</v>
      </c>
      <c r="L356" s="31">
        <v>2160</v>
      </c>
      <c r="M356" s="31">
        <v>14160</v>
      </c>
      <c r="N356" s="31"/>
      <c r="O356" s="31">
        <v>14160</v>
      </c>
      <c r="P356" s="9" t="s">
        <v>26</v>
      </c>
      <c r="Q356" s="12" t="s">
        <v>241</v>
      </c>
      <c r="T356" s="8">
        <f t="shared" si="8"/>
        <v>14160</v>
      </c>
    </row>
    <row r="357" spans="2:20" x14ac:dyDescent="0.35">
      <c r="B357" s="15">
        <v>360</v>
      </c>
      <c r="C357" s="45">
        <v>45926</v>
      </c>
      <c r="D357" s="10">
        <v>1</v>
      </c>
      <c r="E357" s="29">
        <v>45936</v>
      </c>
      <c r="F357" s="14">
        <v>45931</v>
      </c>
      <c r="G357" s="30" t="s">
        <v>857</v>
      </c>
      <c r="H357" s="7" t="s">
        <v>120</v>
      </c>
      <c r="I357" s="7" t="s">
        <v>567</v>
      </c>
      <c r="J357" s="10" t="s">
        <v>92</v>
      </c>
      <c r="K357" s="31">
        <v>2450</v>
      </c>
      <c r="L357" s="31"/>
      <c r="M357" s="31"/>
      <c r="N357" s="31"/>
      <c r="O357" s="31">
        <v>2450</v>
      </c>
      <c r="P357" s="9" t="s">
        <v>26</v>
      </c>
      <c r="Q357" s="12" t="s">
        <v>93</v>
      </c>
      <c r="T357" s="8">
        <f t="shared" si="8"/>
        <v>2450</v>
      </c>
    </row>
    <row r="358" spans="2:20" x14ac:dyDescent="0.35">
      <c r="B358" s="15">
        <v>361</v>
      </c>
      <c r="C358" s="45">
        <v>45957</v>
      </c>
      <c r="D358" s="10">
        <v>1</v>
      </c>
      <c r="E358" s="29">
        <v>45936</v>
      </c>
      <c r="F358" s="14">
        <v>45931</v>
      </c>
      <c r="G358" s="30" t="s">
        <v>857</v>
      </c>
      <c r="H358" s="7" t="s">
        <v>120</v>
      </c>
      <c r="I358" s="7" t="s">
        <v>568</v>
      </c>
      <c r="J358" s="10" t="s">
        <v>92</v>
      </c>
      <c r="K358" s="31">
        <v>800</v>
      </c>
      <c r="L358" s="31"/>
      <c r="M358" s="31"/>
      <c r="N358" s="31"/>
      <c r="O358" s="31">
        <v>800</v>
      </c>
      <c r="P358" s="9" t="s">
        <v>26</v>
      </c>
      <c r="Q358" s="12" t="s">
        <v>93</v>
      </c>
      <c r="T358" s="8">
        <f t="shared" si="8"/>
        <v>800</v>
      </c>
    </row>
    <row r="359" spans="2:20" x14ac:dyDescent="0.35">
      <c r="B359" s="15">
        <v>362</v>
      </c>
      <c r="C359" s="45">
        <v>45925</v>
      </c>
      <c r="D359" s="10" t="s">
        <v>569</v>
      </c>
      <c r="E359" s="29">
        <v>45936</v>
      </c>
      <c r="F359" s="14">
        <v>45931</v>
      </c>
      <c r="G359" s="30" t="s">
        <v>857</v>
      </c>
      <c r="H359" s="7" t="s">
        <v>570</v>
      </c>
      <c r="I359" s="7" t="s">
        <v>571</v>
      </c>
      <c r="J359" s="10" t="s">
        <v>122</v>
      </c>
      <c r="K359" s="31">
        <v>21000</v>
      </c>
      <c r="L359" s="31">
        <v>3780</v>
      </c>
      <c r="M359" s="31">
        <v>24780</v>
      </c>
      <c r="N359" s="31"/>
      <c r="O359" s="31">
        <v>24780</v>
      </c>
      <c r="P359" s="9" t="s">
        <v>26</v>
      </c>
      <c r="Q359" s="12" t="s">
        <v>27</v>
      </c>
      <c r="T359" s="8">
        <f t="shared" si="8"/>
        <v>24780</v>
      </c>
    </row>
    <row r="360" spans="2:20" x14ac:dyDescent="0.35">
      <c r="B360" s="15">
        <v>363</v>
      </c>
      <c r="C360" s="45">
        <v>45917</v>
      </c>
      <c r="D360" s="10" t="s">
        <v>22</v>
      </c>
      <c r="E360" s="29">
        <v>45936</v>
      </c>
      <c r="F360" s="14">
        <v>45931</v>
      </c>
      <c r="G360" s="30" t="s">
        <v>857</v>
      </c>
      <c r="H360" s="7" t="s">
        <v>572</v>
      </c>
      <c r="I360" s="7" t="s">
        <v>573</v>
      </c>
      <c r="J360" s="10" t="s">
        <v>281</v>
      </c>
      <c r="K360" s="31">
        <v>109820</v>
      </c>
      <c r="L360" s="31"/>
      <c r="M360" s="31">
        <v>109820</v>
      </c>
      <c r="N360" s="31"/>
      <c r="O360" s="31">
        <v>54910</v>
      </c>
      <c r="P360" s="9" t="s">
        <v>19</v>
      </c>
      <c r="Q360" s="12" t="s">
        <v>20</v>
      </c>
      <c r="T360" s="8">
        <f t="shared" si="8"/>
        <v>54910</v>
      </c>
    </row>
    <row r="361" spans="2:20" x14ac:dyDescent="0.35">
      <c r="B361" s="15">
        <v>364</v>
      </c>
      <c r="C361" s="45">
        <v>45922</v>
      </c>
      <c r="D361" s="10" t="s">
        <v>574</v>
      </c>
      <c r="E361" s="29">
        <v>45936</v>
      </c>
      <c r="F361" s="14">
        <v>45931</v>
      </c>
      <c r="G361" s="30" t="s">
        <v>857</v>
      </c>
      <c r="H361" s="7" t="s">
        <v>16</v>
      </c>
      <c r="I361" s="7" t="s">
        <v>575</v>
      </c>
      <c r="J361" s="10" t="s">
        <v>576</v>
      </c>
      <c r="K361" s="31">
        <v>22334</v>
      </c>
      <c r="L361" s="31">
        <v>4020</v>
      </c>
      <c r="M361" s="31">
        <v>26354</v>
      </c>
      <c r="N361" s="31">
        <v>223.34</v>
      </c>
      <c r="O361" s="31">
        <v>26130.66</v>
      </c>
      <c r="P361" s="9" t="s">
        <v>26</v>
      </c>
      <c r="Q361" s="12" t="s">
        <v>27</v>
      </c>
      <c r="T361" s="8">
        <f t="shared" si="8"/>
        <v>26354</v>
      </c>
    </row>
    <row r="362" spans="2:20" x14ac:dyDescent="0.35">
      <c r="B362" s="15">
        <v>365</v>
      </c>
      <c r="C362" s="45">
        <v>45931</v>
      </c>
      <c r="D362" s="10">
        <v>3393</v>
      </c>
      <c r="E362" s="29">
        <v>45936</v>
      </c>
      <c r="F362" s="14">
        <v>45931</v>
      </c>
      <c r="G362" s="30" t="s">
        <v>857</v>
      </c>
      <c r="H362" s="7" t="s">
        <v>380</v>
      </c>
      <c r="I362" s="7" t="s">
        <v>381</v>
      </c>
      <c r="J362" s="10" t="s">
        <v>382</v>
      </c>
      <c r="K362" s="31">
        <v>55088</v>
      </c>
      <c r="L362" s="31"/>
      <c r="M362" s="31">
        <v>55088</v>
      </c>
      <c r="N362" s="31"/>
      <c r="O362" s="31">
        <v>55088</v>
      </c>
      <c r="P362" s="9" t="s">
        <v>41</v>
      </c>
      <c r="Q362" s="12" t="s">
        <v>93</v>
      </c>
      <c r="T362" s="8">
        <f t="shared" si="8"/>
        <v>55088</v>
      </c>
    </row>
    <row r="363" spans="2:20" x14ac:dyDescent="0.35">
      <c r="B363" s="15">
        <v>366</v>
      </c>
      <c r="C363" s="45">
        <v>45930</v>
      </c>
      <c r="D363" s="10">
        <v>1</v>
      </c>
      <c r="E363" s="29">
        <v>45936</v>
      </c>
      <c r="F363" s="14">
        <v>45931</v>
      </c>
      <c r="G363" s="30" t="s">
        <v>857</v>
      </c>
      <c r="H363" s="7" t="s">
        <v>525</v>
      </c>
      <c r="I363" s="7" t="s">
        <v>577</v>
      </c>
      <c r="J363" s="10" t="s">
        <v>527</v>
      </c>
      <c r="K363" s="31">
        <v>10412</v>
      </c>
      <c r="L363" s="31"/>
      <c r="M363" s="31">
        <v>10412</v>
      </c>
      <c r="N363" s="31"/>
      <c r="O363" s="31">
        <v>10412</v>
      </c>
      <c r="P363" s="9" t="s">
        <v>26</v>
      </c>
      <c r="Q363" s="12" t="s">
        <v>241</v>
      </c>
      <c r="T363" s="8">
        <f t="shared" si="8"/>
        <v>10412</v>
      </c>
    </row>
    <row r="364" spans="2:20" x14ac:dyDescent="0.35">
      <c r="B364" s="15">
        <v>367</v>
      </c>
      <c r="C364" s="45">
        <v>45925</v>
      </c>
      <c r="D364" s="10" t="s">
        <v>578</v>
      </c>
      <c r="E364" s="29">
        <v>45936</v>
      </c>
      <c r="F364" s="14">
        <v>45931</v>
      </c>
      <c r="G364" s="30" t="s">
        <v>857</v>
      </c>
      <c r="H364" s="7" t="s">
        <v>172</v>
      </c>
      <c r="I364" s="7" t="s">
        <v>579</v>
      </c>
      <c r="J364" s="10" t="s">
        <v>92</v>
      </c>
      <c r="K364" s="31">
        <v>15125</v>
      </c>
      <c r="L364" s="31">
        <v>2723</v>
      </c>
      <c r="M364" s="31">
        <v>17848</v>
      </c>
      <c r="N364" s="31"/>
      <c r="O364" s="31">
        <v>17848</v>
      </c>
      <c r="P364" s="9" t="s">
        <v>26</v>
      </c>
      <c r="Q364" s="12" t="s">
        <v>93</v>
      </c>
      <c r="T364" s="8">
        <f t="shared" si="8"/>
        <v>17848</v>
      </c>
    </row>
    <row r="365" spans="2:20" x14ac:dyDescent="0.35">
      <c r="B365" s="15">
        <v>368</v>
      </c>
      <c r="C365" s="45">
        <v>45928</v>
      </c>
      <c r="D365" s="10" t="s">
        <v>580</v>
      </c>
      <c r="E365" s="29">
        <v>45936</v>
      </c>
      <c r="F365" s="14">
        <v>45931</v>
      </c>
      <c r="G365" s="30" t="s">
        <v>857</v>
      </c>
      <c r="H365" s="7" t="s">
        <v>581</v>
      </c>
      <c r="I365" s="7" t="s">
        <v>582</v>
      </c>
      <c r="J365" s="10" t="s">
        <v>583</v>
      </c>
      <c r="K365" s="31">
        <v>248440</v>
      </c>
      <c r="L365" s="31">
        <v>44719</v>
      </c>
      <c r="M365" s="31">
        <v>293159</v>
      </c>
      <c r="N365" s="31">
        <v>2484</v>
      </c>
      <c r="O365" s="31">
        <v>290675</v>
      </c>
      <c r="P365" s="9" t="s">
        <v>26</v>
      </c>
      <c r="Q365" s="12" t="s">
        <v>27</v>
      </c>
      <c r="T365" s="8">
        <f t="shared" si="8"/>
        <v>293159</v>
      </c>
    </row>
    <row r="366" spans="2:20" x14ac:dyDescent="0.35">
      <c r="B366" s="15">
        <v>369</v>
      </c>
      <c r="C366" s="45">
        <v>45934</v>
      </c>
      <c r="D366" s="10" t="s">
        <v>584</v>
      </c>
      <c r="E366" s="29">
        <v>45946</v>
      </c>
      <c r="F366" s="14">
        <v>45931</v>
      </c>
      <c r="G366" s="30" t="s">
        <v>857</v>
      </c>
      <c r="H366" s="7" t="s">
        <v>172</v>
      </c>
      <c r="I366" s="7" t="s">
        <v>585</v>
      </c>
      <c r="J366" s="10" t="s">
        <v>92</v>
      </c>
      <c r="K366" s="31">
        <v>27775</v>
      </c>
      <c r="L366" s="31">
        <v>5000</v>
      </c>
      <c r="M366" s="31">
        <v>32775</v>
      </c>
      <c r="N366" s="31"/>
      <c r="O366" s="31">
        <v>32775</v>
      </c>
      <c r="P366" s="9" t="s">
        <v>26</v>
      </c>
      <c r="Q366" s="12" t="s">
        <v>93</v>
      </c>
      <c r="T366" s="8">
        <f t="shared" si="8"/>
        <v>32775</v>
      </c>
    </row>
    <row r="367" spans="2:20" ht="28.5" x14ac:dyDescent="0.35">
      <c r="B367" s="15">
        <v>370</v>
      </c>
      <c r="C367" s="45">
        <v>45938</v>
      </c>
      <c r="D367" s="10">
        <v>2558</v>
      </c>
      <c r="E367" s="29">
        <v>45946</v>
      </c>
      <c r="F367" s="14">
        <v>45931</v>
      </c>
      <c r="G367" s="30" t="s">
        <v>857</v>
      </c>
      <c r="H367" s="7" t="s">
        <v>23</v>
      </c>
      <c r="I367" s="7" t="s">
        <v>586</v>
      </c>
      <c r="J367" s="18" t="s">
        <v>46</v>
      </c>
      <c r="K367" s="31">
        <v>70060</v>
      </c>
      <c r="L367" s="31">
        <v>12012</v>
      </c>
      <c r="M367" s="31">
        <v>82072</v>
      </c>
      <c r="N367" s="31"/>
      <c r="O367" s="31">
        <v>82072</v>
      </c>
      <c r="P367" s="9" t="s">
        <v>26</v>
      </c>
      <c r="Q367" s="12" t="s">
        <v>67</v>
      </c>
      <c r="T367" s="8">
        <f t="shared" si="8"/>
        <v>82072</v>
      </c>
    </row>
    <row r="368" spans="2:20" x14ac:dyDescent="0.35">
      <c r="B368" s="15">
        <v>371</v>
      </c>
      <c r="C368" s="45"/>
      <c r="D368" s="10"/>
      <c r="E368" s="29">
        <v>45946</v>
      </c>
      <c r="F368" s="14">
        <v>45901</v>
      </c>
      <c r="G368" s="11" t="s">
        <v>860</v>
      </c>
      <c r="H368" s="7" t="s">
        <v>145</v>
      </c>
      <c r="I368" s="7" t="s">
        <v>587</v>
      </c>
      <c r="J368" s="10" t="s">
        <v>147</v>
      </c>
      <c r="K368" s="31">
        <v>948770</v>
      </c>
      <c r="L368" s="31"/>
      <c r="M368" s="31">
        <v>948770</v>
      </c>
      <c r="N368" s="31"/>
      <c r="O368" s="31">
        <v>948770</v>
      </c>
      <c r="P368" s="9" t="s">
        <v>41</v>
      </c>
      <c r="Q368" s="12" t="s">
        <v>93</v>
      </c>
      <c r="T368" s="8">
        <f t="shared" si="8"/>
        <v>948770</v>
      </c>
    </row>
    <row r="369" spans="2:20" x14ac:dyDescent="0.35">
      <c r="B369" s="15">
        <v>372</v>
      </c>
      <c r="C369" s="45"/>
      <c r="D369" s="10"/>
      <c r="E369" s="29">
        <v>45946</v>
      </c>
      <c r="F369" s="14">
        <v>45931</v>
      </c>
      <c r="G369" s="30" t="s">
        <v>857</v>
      </c>
      <c r="H369" s="7" t="s">
        <v>143</v>
      </c>
      <c r="I369" s="7" t="s">
        <v>588</v>
      </c>
      <c r="J369" s="10" t="s">
        <v>588</v>
      </c>
      <c r="K369" s="31">
        <v>11.8</v>
      </c>
      <c r="L369" s="31"/>
      <c r="M369" s="31">
        <v>11.8</v>
      </c>
      <c r="N369" s="31"/>
      <c r="O369" s="31">
        <v>11.8</v>
      </c>
      <c r="P369" s="9" t="s">
        <v>41</v>
      </c>
      <c r="Q369" s="20" t="s">
        <v>858</v>
      </c>
      <c r="T369" s="8">
        <f t="shared" si="8"/>
        <v>11.8</v>
      </c>
    </row>
    <row r="370" spans="2:20" x14ac:dyDescent="0.35">
      <c r="B370" s="15">
        <v>373</v>
      </c>
      <c r="C370" s="45">
        <v>45939</v>
      </c>
      <c r="D370" s="10">
        <v>19</v>
      </c>
      <c r="E370" s="29">
        <v>45946</v>
      </c>
      <c r="F370" s="14">
        <v>45901</v>
      </c>
      <c r="G370" s="11" t="s">
        <v>860</v>
      </c>
      <c r="H370" s="7" t="s">
        <v>470</v>
      </c>
      <c r="I370" s="7" t="s">
        <v>496</v>
      </c>
      <c r="J370" s="10" t="s">
        <v>110</v>
      </c>
      <c r="K370" s="31">
        <v>89888</v>
      </c>
      <c r="L370" s="31">
        <v>16180</v>
      </c>
      <c r="M370" s="31">
        <v>106068</v>
      </c>
      <c r="N370" s="31">
        <v>8989</v>
      </c>
      <c r="O370" s="31">
        <v>97079</v>
      </c>
      <c r="P370" s="9" t="s">
        <v>41</v>
      </c>
      <c r="Q370" s="20" t="s">
        <v>858</v>
      </c>
      <c r="T370" s="8">
        <f t="shared" si="8"/>
        <v>106068</v>
      </c>
    </row>
    <row r="371" spans="2:20" x14ac:dyDescent="0.35">
      <c r="B371" s="15">
        <v>374</v>
      </c>
      <c r="C371" s="45">
        <v>45939</v>
      </c>
      <c r="D371" s="10">
        <v>3282</v>
      </c>
      <c r="E371" s="29">
        <v>45947</v>
      </c>
      <c r="F371" s="14">
        <v>45901</v>
      </c>
      <c r="G371" s="11" t="s">
        <v>860</v>
      </c>
      <c r="H371" s="7" t="s">
        <v>83</v>
      </c>
      <c r="I371" s="7" t="s">
        <v>589</v>
      </c>
      <c r="J371" s="10" t="s">
        <v>85</v>
      </c>
      <c r="K371" s="31">
        <v>358655</v>
      </c>
      <c r="L371" s="31">
        <v>64558</v>
      </c>
      <c r="M371" s="31">
        <v>423213</v>
      </c>
      <c r="N371" s="31">
        <v>7173</v>
      </c>
      <c r="O371" s="31">
        <v>416040</v>
      </c>
      <c r="P371" s="9" t="s">
        <v>41</v>
      </c>
      <c r="Q371" s="12" t="s">
        <v>27</v>
      </c>
      <c r="T371" s="8">
        <f t="shared" si="8"/>
        <v>423213</v>
      </c>
    </row>
    <row r="372" spans="2:20" x14ac:dyDescent="0.35">
      <c r="B372" s="15">
        <v>375</v>
      </c>
      <c r="C372" s="45">
        <v>45940</v>
      </c>
      <c r="D372" s="10" t="s">
        <v>590</v>
      </c>
      <c r="E372" s="29">
        <v>45947</v>
      </c>
      <c r="F372" s="14">
        <v>45931</v>
      </c>
      <c r="G372" s="30" t="s">
        <v>857</v>
      </c>
      <c r="H372" s="7" t="s">
        <v>384</v>
      </c>
      <c r="I372" s="7" t="s">
        <v>591</v>
      </c>
      <c r="J372" s="10" t="s">
        <v>386</v>
      </c>
      <c r="K372" s="31">
        <v>166430</v>
      </c>
      <c r="L372" s="31">
        <v>29957</v>
      </c>
      <c r="M372" s="31">
        <v>196387</v>
      </c>
      <c r="N372" s="31">
        <v>1664</v>
      </c>
      <c r="O372" s="31">
        <v>111508</v>
      </c>
      <c r="P372" s="9" t="s">
        <v>26</v>
      </c>
      <c r="Q372" s="12" t="s">
        <v>47</v>
      </c>
      <c r="T372" s="8">
        <f t="shared" si="8"/>
        <v>113172</v>
      </c>
    </row>
    <row r="373" spans="2:20" x14ac:dyDescent="0.35">
      <c r="B373" s="15">
        <v>376</v>
      </c>
      <c r="C373" s="45">
        <v>45942</v>
      </c>
      <c r="D373" s="10">
        <v>836</v>
      </c>
      <c r="E373" s="29">
        <v>45955</v>
      </c>
      <c r="F373" s="14">
        <v>45931</v>
      </c>
      <c r="G373" s="30" t="s">
        <v>857</v>
      </c>
      <c r="H373" s="7" t="s">
        <v>523</v>
      </c>
      <c r="I373" s="7" t="s">
        <v>592</v>
      </c>
      <c r="J373" s="10" t="s">
        <v>92</v>
      </c>
      <c r="K373" s="31">
        <v>8374</v>
      </c>
      <c r="L373" s="31">
        <v>1507</v>
      </c>
      <c r="M373" s="31">
        <v>9881</v>
      </c>
      <c r="N373" s="31"/>
      <c r="O373" s="31">
        <v>9881</v>
      </c>
      <c r="P373" s="9" t="s">
        <v>26</v>
      </c>
      <c r="Q373" s="12" t="s">
        <v>93</v>
      </c>
      <c r="T373" s="8">
        <f t="shared" si="8"/>
        <v>9881</v>
      </c>
    </row>
    <row r="374" spans="2:20" x14ac:dyDescent="0.35">
      <c r="B374" s="15">
        <v>377</v>
      </c>
      <c r="C374" s="45">
        <v>45944</v>
      </c>
      <c r="D374" s="10">
        <v>849</v>
      </c>
      <c r="E374" s="29">
        <v>45955</v>
      </c>
      <c r="F374" s="14">
        <v>45931</v>
      </c>
      <c r="G374" s="30" t="s">
        <v>857</v>
      </c>
      <c r="H374" s="7" t="s">
        <v>523</v>
      </c>
      <c r="I374" s="7" t="s">
        <v>593</v>
      </c>
      <c r="J374" s="10" t="s">
        <v>92</v>
      </c>
      <c r="K374" s="31">
        <v>6910</v>
      </c>
      <c r="L374" s="31">
        <v>1244</v>
      </c>
      <c r="M374" s="31">
        <v>8154</v>
      </c>
      <c r="N374" s="31"/>
      <c r="O374" s="31">
        <v>8154</v>
      </c>
      <c r="P374" s="9" t="s">
        <v>26</v>
      </c>
      <c r="Q374" s="12" t="s">
        <v>93</v>
      </c>
      <c r="T374" s="8">
        <f t="shared" si="8"/>
        <v>8154</v>
      </c>
    </row>
    <row r="375" spans="2:20" ht="28.5" x14ac:dyDescent="0.35">
      <c r="B375" s="15">
        <v>378</v>
      </c>
      <c r="C375" s="45">
        <v>45943</v>
      </c>
      <c r="D375" s="10">
        <v>21356</v>
      </c>
      <c r="E375" s="29">
        <v>45947</v>
      </c>
      <c r="F375" s="14">
        <v>45931</v>
      </c>
      <c r="G375" s="30" t="s">
        <v>857</v>
      </c>
      <c r="H375" s="7" t="s">
        <v>200</v>
      </c>
      <c r="I375" s="7" t="s">
        <v>594</v>
      </c>
      <c r="J375" s="18" t="s">
        <v>89</v>
      </c>
      <c r="K375" s="31">
        <v>15350</v>
      </c>
      <c r="L375" s="31">
        <v>2763</v>
      </c>
      <c r="M375" s="31">
        <v>18113</v>
      </c>
      <c r="N375" s="31"/>
      <c r="O375" s="31">
        <v>18113</v>
      </c>
      <c r="P375" s="9" t="s">
        <v>41</v>
      </c>
      <c r="Q375" s="12" t="s">
        <v>67</v>
      </c>
      <c r="T375" s="8">
        <f t="shared" si="8"/>
        <v>18113</v>
      </c>
    </row>
    <row r="376" spans="2:20" x14ac:dyDescent="0.35">
      <c r="B376" s="15">
        <v>379</v>
      </c>
      <c r="C376" s="45">
        <v>45938</v>
      </c>
      <c r="D376" s="10" t="s">
        <v>595</v>
      </c>
      <c r="E376" s="29">
        <v>45947</v>
      </c>
      <c r="F376" s="14">
        <v>45931</v>
      </c>
      <c r="G376" s="30" t="s">
        <v>857</v>
      </c>
      <c r="H376" s="7" t="s">
        <v>486</v>
      </c>
      <c r="I376" s="7" t="s">
        <v>596</v>
      </c>
      <c r="J376" s="10" t="s">
        <v>488</v>
      </c>
      <c r="K376" s="31">
        <v>50350</v>
      </c>
      <c r="L376" s="31">
        <v>9063</v>
      </c>
      <c r="M376" s="31">
        <v>59413</v>
      </c>
      <c r="N376" s="31">
        <v>504</v>
      </c>
      <c r="O376" s="31">
        <v>33987</v>
      </c>
      <c r="P376" s="9" t="s">
        <v>19</v>
      </c>
      <c r="Q376" s="37" t="s">
        <v>20</v>
      </c>
      <c r="T376" s="8">
        <f t="shared" si="8"/>
        <v>34491</v>
      </c>
    </row>
    <row r="377" spans="2:20" x14ac:dyDescent="0.35">
      <c r="B377" s="15">
        <v>380</v>
      </c>
      <c r="C377" s="45">
        <v>45938</v>
      </c>
      <c r="D377" s="10" t="s">
        <v>597</v>
      </c>
      <c r="E377" s="29">
        <v>45947</v>
      </c>
      <c r="F377" s="14">
        <v>45931</v>
      </c>
      <c r="G377" s="30" t="s">
        <v>857</v>
      </c>
      <c r="H377" s="7" t="s">
        <v>486</v>
      </c>
      <c r="I377" s="7" t="s">
        <v>598</v>
      </c>
      <c r="J377" s="10" t="s">
        <v>488</v>
      </c>
      <c r="K377" s="31">
        <v>129584</v>
      </c>
      <c r="L377" s="31">
        <v>23325</v>
      </c>
      <c r="M377" s="31">
        <v>152909</v>
      </c>
      <c r="N377" s="31">
        <v>1296</v>
      </c>
      <c r="O377" s="31">
        <v>87469</v>
      </c>
      <c r="P377" s="9" t="s">
        <v>19</v>
      </c>
      <c r="Q377" s="37" t="s">
        <v>20</v>
      </c>
      <c r="T377" s="8">
        <f t="shared" si="8"/>
        <v>88765</v>
      </c>
    </row>
    <row r="378" spans="2:20" x14ac:dyDescent="0.35">
      <c r="B378" s="15">
        <v>381</v>
      </c>
      <c r="C378" s="45">
        <v>45938</v>
      </c>
      <c r="D378" s="10" t="s">
        <v>599</v>
      </c>
      <c r="E378" s="29">
        <v>45947</v>
      </c>
      <c r="F378" s="14">
        <v>45931</v>
      </c>
      <c r="G378" s="30" t="s">
        <v>857</v>
      </c>
      <c r="H378" s="7" t="s">
        <v>486</v>
      </c>
      <c r="I378" s="7" t="s">
        <v>600</v>
      </c>
      <c r="J378" s="10" t="s">
        <v>488</v>
      </c>
      <c r="K378" s="31">
        <v>52688</v>
      </c>
      <c r="L378" s="31">
        <v>9484</v>
      </c>
      <c r="M378" s="31">
        <v>62172</v>
      </c>
      <c r="N378" s="31">
        <v>527</v>
      </c>
      <c r="O378" s="31">
        <v>35564</v>
      </c>
      <c r="P378" s="9" t="s">
        <v>19</v>
      </c>
      <c r="Q378" s="37" t="s">
        <v>20</v>
      </c>
      <c r="T378" s="8">
        <f t="shared" si="8"/>
        <v>36091</v>
      </c>
    </row>
    <row r="379" spans="2:20" x14ac:dyDescent="0.35">
      <c r="B379" s="15">
        <v>382</v>
      </c>
      <c r="C379" s="45">
        <v>45938</v>
      </c>
      <c r="D379" s="10" t="s">
        <v>601</v>
      </c>
      <c r="E379" s="29">
        <v>45947</v>
      </c>
      <c r="F379" s="14">
        <v>45931</v>
      </c>
      <c r="G379" s="30" t="s">
        <v>857</v>
      </c>
      <c r="H379" s="7" t="s">
        <v>486</v>
      </c>
      <c r="I379" s="7" t="s">
        <v>602</v>
      </c>
      <c r="J379" s="10" t="s">
        <v>488</v>
      </c>
      <c r="K379" s="31">
        <v>95000</v>
      </c>
      <c r="L379" s="31">
        <v>17100</v>
      </c>
      <c r="M379" s="31">
        <v>112100</v>
      </c>
      <c r="N379" s="31">
        <v>950</v>
      </c>
      <c r="O379" s="31">
        <v>64125</v>
      </c>
      <c r="P379" s="9" t="s">
        <v>19</v>
      </c>
      <c r="Q379" s="37" t="s">
        <v>20</v>
      </c>
      <c r="T379" s="8">
        <f t="shared" si="8"/>
        <v>65075</v>
      </c>
    </row>
    <row r="380" spans="2:20" x14ac:dyDescent="0.35">
      <c r="B380" s="15">
        <v>383</v>
      </c>
      <c r="C380" s="45">
        <v>45938</v>
      </c>
      <c r="D380" s="10" t="s">
        <v>603</v>
      </c>
      <c r="E380" s="29">
        <v>45947</v>
      </c>
      <c r="F380" s="14">
        <v>45931</v>
      </c>
      <c r="G380" s="30" t="s">
        <v>857</v>
      </c>
      <c r="H380" s="7" t="s">
        <v>486</v>
      </c>
      <c r="I380" s="7" t="s">
        <v>604</v>
      </c>
      <c r="J380" s="10" t="s">
        <v>488</v>
      </c>
      <c r="K380" s="31">
        <v>254600</v>
      </c>
      <c r="L380" s="31">
        <v>45828</v>
      </c>
      <c r="M380" s="31">
        <v>300428</v>
      </c>
      <c r="N380" s="31">
        <v>2546</v>
      </c>
      <c r="O380" s="31">
        <v>171855</v>
      </c>
      <c r="P380" s="9" t="s">
        <v>19</v>
      </c>
      <c r="Q380" s="37" t="s">
        <v>20</v>
      </c>
      <c r="T380" s="8">
        <f t="shared" si="8"/>
        <v>174401</v>
      </c>
    </row>
    <row r="381" spans="2:20" x14ac:dyDescent="0.35">
      <c r="B381" s="15">
        <v>384</v>
      </c>
      <c r="C381" s="45">
        <v>45938</v>
      </c>
      <c r="D381" s="10" t="s">
        <v>605</v>
      </c>
      <c r="E381" s="29">
        <v>45947</v>
      </c>
      <c r="F381" s="14">
        <v>45931</v>
      </c>
      <c r="G381" s="30" t="s">
        <v>857</v>
      </c>
      <c r="H381" s="7" t="s">
        <v>486</v>
      </c>
      <c r="I381" s="7" t="s">
        <v>606</v>
      </c>
      <c r="J381" s="10" t="s">
        <v>488</v>
      </c>
      <c r="K381" s="31">
        <v>20000</v>
      </c>
      <c r="L381" s="31">
        <v>3600</v>
      </c>
      <c r="M381" s="31">
        <v>23600</v>
      </c>
      <c r="N381" s="31">
        <v>200</v>
      </c>
      <c r="O381" s="31">
        <v>23400</v>
      </c>
      <c r="P381" s="9" t="s">
        <v>19</v>
      </c>
      <c r="Q381" s="37" t="s">
        <v>20</v>
      </c>
      <c r="T381" s="8">
        <f t="shared" si="8"/>
        <v>23600</v>
      </c>
    </row>
    <row r="382" spans="2:20" x14ac:dyDescent="0.35">
      <c r="B382" s="15">
        <v>385</v>
      </c>
      <c r="C382" s="45">
        <v>45930</v>
      </c>
      <c r="D382" s="10" t="s">
        <v>607</v>
      </c>
      <c r="E382" s="29">
        <v>45940</v>
      </c>
      <c r="F382" s="14">
        <v>45901</v>
      </c>
      <c r="G382" s="11" t="s">
        <v>860</v>
      </c>
      <c r="H382" s="7" t="s">
        <v>608</v>
      </c>
      <c r="I382" s="7" t="s">
        <v>609</v>
      </c>
      <c r="J382" s="10" t="s">
        <v>610</v>
      </c>
      <c r="K382" s="31">
        <v>21000</v>
      </c>
      <c r="L382" s="31">
        <v>3780</v>
      </c>
      <c r="M382" s="31">
        <v>24780</v>
      </c>
      <c r="N382" s="31">
        <v>210</v>
      </c>
      <c r="O382" s="31">
        <v>24570</v>
      </c>
      <c r="P382" s="9" t="s">
        <v>41</v>
      </c>
      <c r="Q382" s="12" t="s">
        <v>241</v>
      </c>
      <c r="T382" s="8">
        <f t="shared" si="8"/>
        <v>24780</v>
      </c>
    </row>
    <row r="383" spans="2:20" x14ac:dyDescent="0.35">
      <c r="B383" s="15">
        <v>386</v>
      </c>
      <c r="C383" s="45">
        <v>45933</v>
      </c>
      <c r="D383" s="10" t="s">
        <v>611</v>
      </c>
      <c r="E383" s="29">
        <v>45940</v>
      </c>
      <c r="F383" s="14">
        <v>45931</v>
      </c>
      <c r="G383" s="11" t="s">
        <v>860</v>
      </c>
      <c r="H383" s="7" t="s">
        <v>49</v>
      </c>
      <c r="I383" s="7" t="s">
        <v>612</v>
      </c>
      <c r="J383" s="10" t="s">
        <v>51</v>
      </c>
      <c r="K383" s="31">
        <v>7500</v>
      </c>
      <c r="L383" s="31">
        <v>1350</v>
      </c>
      <c r="M383" s="31">
        <v>8850</v>
      </c>
      <c r="N383" s="31">
        <v>75</v>
      </c>
      <c r="O383" s="31">
        <v>8775</v>
      </c>
      <c r="P383" s="9" t="s">
        <v>41</v>
      </c>
      <c r="Q383" s="12" t="s">
        <v>31</v>
      </c>
      <c r="T383" s="8">
        <f t="shared" si="8"/>
        <v>8850</v>
      </c>
    </row>
    <row r="384" spans="2:20" x14ac:dyDescent="0.35">
      <c r="B384" s="15">
        <v>387</v>
      </c>
      <c r="C384" s="45">
        <v>45931</v>
      </c>
      <c r="D384" s="10" t="s">
        <v>613</v>
      </c>
      <c r="E384" s="29">
        <v>45939</v>
      </c>
      <c r="F384" s="14">
        <v>45901</v>
      </c>
      <c r="G384" s="11" t="s">
        <v>860</v>
      </c>
      <c r="H384" s="7" t="s">
        <v>221</v>
      </c>
      <c r="I384" s="7" t="s">
        <v>222</v>
      </c>
      <c r="J384" s="10" t="s">
        <v>223</v>
      </c>
      <c r="K384" s="31">
        <v>88920</v>
      </c>
      <c r="L384" s="31">
        <v>16005.599999999999</v>
      </c>
      <c r="M384" s="31">
        <v>104925.6</v>
      </c>
      <c r="N384" s="31">
        <v>889.2</v>
      </c>
      <c r="O384" s="31">
        <v>104036.40000000001</v>
      </c>
      <c r="P384" s="9" t="s">
        <v>41</v>
      </c>
      <c r="Q384" s="12" t="s">
        <v>47</v>
      </c>
      <c r="T384" s="8">
        <f t="shared" si="8"/>
        <v>104925.6</v>
      </c>
    </row>
    <row r="385" spans="2:20" x14ac:dyDescent="0.35">
      <c r="B385" s="15">
        <v>388</v>
      </c>
      <c r="C385" s="45">
        <v>45931</v>
      </c>
      <c r="D385" s="10" t="s">
        <v>613</v>
      </c>
      <c r="E385" s="29">
        <v>45939</v>
      </c>
      <c r="F385" s="14">
        <v>45901</v>
      </c>
      <c r="G385" s="11" t="s">
        <v>860</v>
      </c>
      <c r="H385" s="7" t="s">
        <v>221</v>
      </c>
      <c r="I385" s="7" t="s">
        <v>224</v>
      </c>
      <c r="J385" s="10" t="s">
        <v>223</v>
      </c>
      <c r="K385" s="31">
        <v>63333</v>
      </c>
      <c r="L385" s="31">
        <v>11399.939999999999</v>
      </c>
      <c r="M385" s="31">
        <v>74732.94</v>
      </c>
      <c r="N385" s="31">
        <v>633.33000000000004</v>
      </c>
      <c r="O385" s="31">
        <v>74099.61</v>
      </c>
      <c r="P385" s="9" t="s">
        <v>41</v>
      </c>
      <c r="Q385" s="12" t="s">
        <v>47</v>
      </c>
      <c r="T385" s="8">
        <f t="shared" si="8"/>
        <v>74732.94</v>
      </c>
    </row>
    <row r="386" spans="2:20" x14ac:dyDescent="0.35">
      <c r="B386" s="15">
        <v>389</v>
      </c>
      <c r="C386" s="45">
        <v>45931</v>
      </c>
      <c r="D386" s="10" t="s">
        <v>613</v>
      </c>
      <c r="E386" s="29">
        <v>45939</v>
      </c>
      <c r="F386" s="14">
        <v>45901</v>
      </c>
      <c r="G386" s="11" t="s">
        <v>860</v>
      </c>
      <c r="H386" s="7" t="s">
        <v>221</v>
      </c>
      <c r="I386" s="7" t="s">
        <v>225</v>
      </c>
      <c r="J386" s="10" t="s">
        <v>223</v>
      </c>
      <c r="K386" s="31">
        <v>39936</v>
      </c>
      <c r="L386" s="31">
        <v>7188.48</v>
      </c>
      <c r="M386" s="31">
        <v>47124.479999999996</v>
      </c>
      <c r="N386" s="31">
        <v>399.36</v>
      </c>
      <c r="O386" s="31">
        <v>46725.119999999995</v>
      </c>
      <c r="P386" s="9" t="s">
        <v>41</v>
      </c>
      <c r="Q386" s="12" t="s">
        <v>47</v>
      </c>
      <c r="T386" s="8">
        <f t="shared" si="8"/>
        <v>47124.479999999996</v>
      </c>
    </row>
    <row r="387" spans="2:20" x14ac:dyDescent="0.35">
      <c r="B387" s="15">
        <v>390</v>
      </c>
      <c r="C387" s="45">
        <v>45931</v>
      </c>
      <c r="D387" s="10" t="s">
        <v>613</v>
      </c>
      <c r="E387" s="29">
        <v>45939</v>
      </c>
      <c r="F387" s="14">
        <v>45901</v>
      </c>
      <c r="G387" s="11" t="s">
        <v>860</v>
      </c>
      <c r="H387" s="7" t="s">
        <v>221</v>
      </c>
      <c r="I387" s="7" t="s">
        <v>226</v>
      </c>
      <c r="J387" s="10" t="s">
        <v>223</v>
      </c>
      <c r="K387" s="31">
        <v>61920</v>
      </c>
      <c r="L387" s="31">
        <v>11145.6</v>
      </c>
      <c r="M387" s="31">
        <v>73065.600000000006</v>
      </c>
      <c r="N387" s="31">
        <v>619.20000000000005</v>
      </c>
      <c r="O387" s="31">
        <v>72446.400000000009</v>
      </c>
      <c r="P387" s="9" t="s">
        <v>41</v>
      </c>
      <c r="Q387" s="12" t="s">
        <v>47</v>
      </c>
      <c r="T387" s="8">
        <f t="shared" ref="T387:T455" si="9">N387+O387</f>
        <v>73065.600000000006</v>
      </c>
    </row>
    <row r="388" spans="2:20" x14ac:dyDescent="0.35">
      <c r="B388" s="15">
        <v>391</v>
      </c>
      <c r="C388" s="45">
        <v>45931</v>
      </c>
      <c r="D388" s="10" t="s">
        <v>613</v>
      </c>
      <c r="E388" s="29">
        <v>45939</v>
      </c>
      <c r="F388" s="14">
        <v>45901</v>
      </c>
      <c r="G388" s="11" t="s">
        <v>860</v>
      </c>
      <c r="H388" s="7" t="s">
        <v>221</v>
      </c>
      <c r="I388" s="7" t="s">
        <v>227</v>
      </c>
      <c r="J388" s="10" t="s">
        <v>223</v>
      </c>
      <c r="K388" s="31">
        <v>31806</v>
      </c>
      <c r="L388" s="31">
        <v>5725.08</v>
      </c>
      <c r="M388" s="31">
        <v>37531.08</v>
      </c>
      <c r="N388" s="31">
        <v>318.06</v>
      </c>
      <c r="O388" s="31">
        <v>37213.020000000004</v>
      </c>
      <c r="P388" s="9" t="s">
        <v>41</v>
      </c>
      <c r="Q388" s="12" t="s">
        <v>47</v>
      </c>
      <c r="T388" s="8">
        <f t="shared" si="9"/>
        <v>37531.08</v>
      </c>
    </row>
    <row r="389" spans="2:20" x14ac:dyDescent="0.35">
      <c r="B389" s="15">
        <v>392</v>
      </c>
      <c r="C389" s="45">
        <v>45931</v>
      </c>
      <c r="D389" s="10" t="s">
        <v>613</v>
      </c>
      <c r="E389" s="29">
        <v>45939</v>
      </c>
      <c r="F389" s="14">
        <v>45901</v>
      </c>
      <c r="G389" s="11" t="s">
        <v>860</v>
      </c>
      <c r="H389" s="7" t="s">
        <v>221</v>
      </c>
      <c r="I389" s="7" t="s">
        <v>228</v>
      </c>
      <c r="J389" s="10" t="s">
        <v>229</v>
      </c>
      <c r="K389" s="31">
        <v>193501</v>
      </c>
      <c r="L389" s="31">
        <v>34830.18</v>
      </c>
      <c r="M389" s="31">
        <v>228331.18</v>
      </c>
      <c r="N389" s="31">
        <v>1935.01</v>
      </c>
      <c r="O389" s="31">
        <v>226396.16999999998</v>
      </c>
      <c r="P389" s="9" t="s">
        <v>41</v>
      </c>
      <c r="Q389" s="12" t="s">
        <v>93</v>
      </c>
      <c r="T389" s="8">
        <f t="shared" si="9"/>
        <v>228331.18</v>
      </c>
    </row>
    <row r="390" spans="2:20" x14ac:dyDescent="0.35">
      <c r="B390" s="15">
        <v>393</v>
      </c>
      <c r="C390" s="45">
        <v>45931</v>
      </c>
      <c r="D390" s="10" t="s">
        <v>613</v>
      </c>
      <c r="E390" s="29">
        <v>45939</v>
      </c>
      <c r="F390" s="14">
        <v>45901</v>
      </c>
      <c r="G390" s="11" t="s">
        <v>860</v>
      </c>
      <c r="H390" s="7" t="s">
        <v>221</v>
      </c>
      <c r="I390" s="7" t="s">
        <v>230</v>
      </c>
      <c r="J390" s="10" t="s">
        <v>231</v>
      </c>
      <c r="K390" s="31">
        <v>213293</v>
      </c>
      <c r="L390" s="31">
        <v>38392.74</v>
      </c>
      <c r="M390" s="31">
        <v>251685.74</v>
      </c>
      <c r="N390" s="31">
        <v>2132.9299999999998</v>
      </c>
      <c r="O390" s="31">
        <v>249552.81</v>
      </c>
      <c r="P390" s="9" t="s">
        <v>41</v>
      </c>
      <c r="Q390" s="12" t="s">
        <v>27</v>
      </c>
      <c r="T390" s="8">
        <f t="shared" si="9"/>
        <v>251685.74</v>
      </c>
    </row>
    <row r="391" spans="2:20" ht="28.5" x14ac:dyDescent="0.35">
      <c r="B391" s="15">
        <v>394</v>
      </c>
      <c r="C391" s="45">
        <v>45931</v>
      </c>
      <c r="D391" s="10" t="s">
        <v>613</v>
      </c>
      <c r="E391" s="29">
        <v>45939</v>
      </c>
      <c r="F391" s="14">
        <v>45901</v>
      </c>
      <c r="G391" s="11" t="s">
        <v>860</v>
      </c>
      <c r="H391" s="7" t="s">
        <v>221</v>
      </c>
      <c r="I391" s="7" t="s">
        <v>232</v>
      </c>
      <c r="J391" s="10" t="s">
        <v>233</v>
      </c>
      <c r="K391" s="31">
        <v>24300</v>
      </c>
      <c r="L391" s="31">
        <v>4374</v>
      </c>
      <c r="M391" s="31">
        <v>28674</v>
      </c>
      <c r="N391" s="31">
        <v>243</v>
      </c>
      <c r="O391" s="31">
        <v>28431</v>
      </c>
      <c r="P391" s="9" t="s">
        <v>41</v>
      </c>
      <c r="Q391" s="12" t="s">
        <v>20</v>
      </c>
      <c r="T391" s="8">
        <f t="shared" si="9"/>
        <v>28674</v>
      </c>
    </row>
    <row r="392" spans="2:20" ht="28.5" x14ac:dyDescent="0.35">
      <c r="B392" s="15">
        <v>395</v>
      </c>
      <c r="C392" s="45">
        <v>45931</v>
      </c>
      <c r="D392" s="10" t="s">
        <v>613</v>
      </c>
      <c r="E392" s="29">
        <v>45939</v>
      </c>
      <c r="F392" s="14">
        <v>45901</v>
      </c>
      <c r="G392" s="11" t="s">
        <v>860</v>
      </c>
      <c r="H392" s="7" t="s">
        <v>221</v>
      </c>
      <c r="I392" s="7" t="s">
        <v>234</v>
      </c>
      <c r="J392" s="10" t="s">
        <v>233</v>
      </c>
      <c r="K392" s="31">
        <v>10200</v>
      </c>
      <c r="L392" s="31">
        <v>1836</v>
      </c>
      <c r="M392" s="31">
        <v>12036</v>
      </c>
      <c r="N392" s="31">
        <v>102</v>
      </c>
      <c r="O392" s="31">
        <v>11934</v>
      </c>
      <c r="P392" s="9" t="s">
        <v>41</v>
      </c>
      <c r="Q392" s="12" t="s">
        <v>20</v>
      </c>
      <c r="T392" s="8">
        <f t="shared" si="9"/>
        <v>12036</v>
      </c>
    </row>
    <row r="393" spans="2:20" x14ac:dyDescent="0.35">
      <c r="B393" s="15">
        <v>396</v>
      </c>
      <c r="C393" s="45">
        <v>45931</v>
      </c>
      <c r="D393" s="10" t="s">
        <v>613</v>
      </c>
      <c r="E393" s="29">
        <v>45939</v>
      </c>
      <c r="F393" s="14">
        <v>45901</v>
      </c>
      <c r="G393" s="11" t="s">
        <v>860</v>
      </c>
      <c r="H393" s="7" t="s">
        <v>221</v>
      </c>
      <c r="I393" s="7" t="s">
        <v>235</v>
      </c>
      <c r="J393" s="10" t="s">
        <v>236</v>
      </c>
      <c r="K393" s="31">
        <v>29167</v>
      </c>
      <c r="L393" s="31">
        <v>5250.0599999999995</v>
      </c>
      <c r="M393" s="31">
        <v>34417.06</v>
      </c>
      <c r="N393" s="31">
        <v>291.67</v>
      </c>
      <c r="O393" s="31">
        <v>34125.39</v>
      </c>
      <c r="P393" s="9" t="s">
        <v>41</v>
      </c>
      <c r="Q393" s="12" t="s">
        <v>67</v>
      </c>
      <c r="T393" s="8">
        <f t="shared" si="9"/>
        <v>34417.06</v>
      </c>
    </row>
    <row r="394" spans="2:20" x14ac:dyDescent="0.35">
      <c r="B394" s="15">
        <v>397</v>
      </c>
      <c r="C394" s="45">
        <v>45931</v>
      </c>
      <c r="D394" s="10" t="s">
        <v>613</v>
      </c>
      <c r="E394" s="29">
        <v>45939</v>
      </c>
      <c r="F394" s="14">
        <v>45901</v>
      </c>
      <c r="G394" s="11" t="s">
        <v>860</v>
      </c>
      <c r="H394" s="7" t="s">
        <v>221</v>
      </c>
      <c r="I394" s="7" t="s">
        <v>237</v>
      </c>
      <c r="J394" s="10" t="s">
        <v>236</v>
      </c>
      <c r="K394" s="31">
        <v>618118</v>
      </c>
      <c r="L394" s="31">
        <v>111261.23999999999</v>
      </c>
      <c r="M394" s="31">
        <v>729379.24</v>
      </c>
      <c r="N394" s="31">
        <v>6181.18</v>
      </c>
      <c r="O394" s="31">
        <v>723198.05999999994</v>
      </c>
      <c r="P394" s="9" t="s">
        <v>41</v>
      </c>
      <c r="Q394" s="12" t="s">
        <v>67</v>
      </c>
      <c r="T394" s="8">
        <f t="shared" si="9"/>
        <v>729379.24</v>
      </c>
    </row>
    <row r="395" spans="2:20" x14ac:dyDescent="0.35">
      <c r="B395" s="15">
        <v>398</v>
      </c>
      <c r="C395" s="45">
        <v>45931</v>
      </c>
      <c r="D395" s="10" t="s">
        <v>613</v>
      </c>
      <c r="E395" s="29">
        <v>45939</v>
      </c>
      <c r="F395" s="14">
        <v>45901</v>
      </c>
      <c r="G395" s="11" t="s">
        <v>860</v>
      </c>
      <c r="H395" s="7" t="s">
        <v>221</v>
      </c>
      <c r="I395" s="7" t="s">
        <v>238</v>
      </c>
      <c r="J395" s="10" t="s">
        <v>236</v>
      </c>
      <c r="K395" s="31">
        <v>20000</v>
      </c>
      <c r="L395" s="31">
        <v>3600</v>
      </c>
      <c r="M395" s="31">
        <v>23600</v>
      </c>
      <c r="N395" s="31">
        <v>200</v>
      </c>
      <c r="O395" s="31">
        <v>23400</v>
      </c>
      <c r="P395" s="9" t="s">
        <v>41</v>
      </c>
      <c r="Q395" s="12" t="s">
        <v>67</v>
      </c>
      <c r="T395" s="8">
        <f t="shared" si="9"/>
        <v>23600</v>
      </c>
    </row>
    <row r="396" spans="2:20" x14ac:dyDescent="0.35">
      <c r="B396" s="15">
        <v>399</v>
      </c>
      <c r="C396" s="45">
        <v>45931</v>
      </c>
      <c r="D396" s="10" t="s">
        <v>613</v>
      </c>
      <c r="E396" s="29">
        <v>45939</v>
      </c>
      <c r="F396" s="14">
        <v>45901</v>
      </c>
      <c r="G396" s="11" t="s">
        <v>860</v>
      </c>
      <c r="H396" s="7" t="s">
        <v>221</v>
      </c>
      <c r="I396" s="7" t="s">
        <v>239</v>
      </c>
      <c r="J396" s="10" t="s">
        <v>240</v>
      </c>
      <c r="K396" s="31">
        <v>19000</v>
      </c>
      <c r="L396" s="31">
        <v>3420</v>
      </c>
      <c r="M396" s="31">
        <v>22420</v>
      </c>
      <c r="N396" s="31">
        <v>190</v>
      </c>
      <c r="O396" s="31">
        <v>22230</v>
      </c>
      <c r="P396" s="9" t="s">
        <v>41</v>
      </c>
      <c r="Q396" s="12" t="s">
        <v>241</v>
      </c>
      <c r="T396" s="8">
        <f t="shared" si="9"/>
        <v>22420</v>
      </c>
    </row>
    <row r="397" spans="2:20" x14ac:dyDescent="0.35">
      <c r="B397" s="15">
        <v>400</v>
      </c>
      <c r="C397" s="45">
        <v>45931</v>
      </c>
      <c r="D397" s="10" t="s">
        <v>613</v>
      </c>
      <c r="E397" s="29">
        <v>45939</v>
      </c>
      <c r="F397" s="14">
        <v>45901</v>
      </c>
      <c r="G397" s="11" t="s">
        <v>860</v>
      </c>
      <c r="H397" s="7" t="s">
        <v>221</v>
      </c>
      <c r="I397" s="7" t="s">
        <v>242</v>
      </c>
      <c r="J397" s="10" t="s">
        <v>236</v>
      </c>
      <c r="K397" s="31">
        <v>36720</v>
      </c>
      <c r="L397" s="31">
        <v>6609.5999999999995</v>
      </c>
      <c r="M397" s="31">
        <v>43329.599999999999</v>
      </c>
      <c r="N397" s="31">
        <v>367.2</v>
      </c>
      <c r="O397" s="31">
        <v>42962.400000000001</v>
      </c>
      <c r="P397" s="9" t="s">
        <v>41</v>
      </c>
      <c r="Q397" s="12" t="s">
        <v>67</v>
      </c>
      <c r="T397" s="8">
        <f t="shared" si="9"/>
        <v>43329.599999999999</v>
      </c>
    </row>
    <row r="398" spans="2:20" x14ac:dyDescent="0.35">
      <c r="B398" s="15">
        <v>401</v>
      </c>
      <c r="C398" s="45">
        <v>45931</v>
      </c>
      <c r="D398" s="10" t="s">
        <v>613</v>
      </c>
      <c r="E398" s="29">
        <v>45939</v>
      </c>
      <c r="F398" s="14">
        <v>45901</v>
      </c>
      <c r="G398" s="11" t="s">
        <v>860</v>
      </c>
      <c r="H398" s="7" t="s">
        <v>221</v>
      </c>
      <c r="I398" s="7" t="s">
        <v>614</v>
      </c>
      <c r="J398" s="10" t="s">
        <v>223</v>
      </c>
      <c r="K398" s="31">
        <v>80000</v>
      </c>
      <c r="L398" s="31">
        <v>14400</v>
      </c>
      <c r="M398" s="31">
        <v>94400</v>
      </c>
      <c r="N398" s="31">
        <v>800</v>
      </c>
      <c r="O398" s="31">
        <v>93600</v>
      </c>
      <c r="P398" s="9" t="s">
        <v>41</v>
      </c>
      <c r="Q398" s="12" t="s">
        <v>47</v>
      </c>
      <c r="T398" s="8">
        <f t="shared" si="9"/>
        <v>94400</v>
      </c>
    </row>
    <row r="399" spans="2:20" x14ac:dyDescent="0.35">
      <c r="B399" s="15">
        <v>402</v>
      </c>
      <c r="C399" s="45">
        <v>45931</v>
      </c>
      <c r="D399" s="10" t="s">
        <v>615</v>
      </c>
      <c r="E399" s="29">
        <v>45940</v>
      </c>
      <c r="F399" s="14">
        <v>45931</v>
      </c>
      <c r="G399" s="30" t="s">
        <v>857</v>
      </c>
      <c r="H399" s="7" t="s">
        <v>16</v>
      </c>
      <c r="I399" s="7" t="s">
        <v>616</v>
      </c>
      <c r="J399" s="10" t="s">
        <v>617</v>
      </c>
      <c r="K399" s="31">
        <v>67500</v>
      </c>
      <c r="L399" s="31">
        <v>12150</v>
      </c>
      <c r="M399" s="31">
        <v>79650</v>
      </c>
      <c r="N399" s="31">
        <v>675</v>
      </c>
      <c r="O399" s="31">
        <v>78975</v>
      </c>
      <c r="P399" s="9" t="s">
        <v>26</v>
      </c>
      <c r="Q399" s="20" t="s">
        <v>155</v>
      </c>
      <c r="T399" s="8">
        <f t="shared" si="9"/>
        <v>79650</v>
      </c>
    </row>
    <row r="400" spans="2:20" x14ac:dyDescent="0.35">
      <c r="B400" s="15">
        <v>403</v>
      </c>
      <c r="C400" s="45">
        <v>45930</v>
      </c>
      <c r="D400" s="10">
        <v>1</v>
      </c>
      <c r="E400" s="29">
        <v>45940</v>
      </c>
      <c r="F400" s="14">
        <v>45931</v>
      </c>
      <c r="G400" s="30" t="s">
        <v>857</v>
      </c>
      <c r="H400" s="7" t="s">
        <v>120</v>
      </c>
      <c r="I400" s="7" t="s">
        <v>618</v>
      </c>
      <c r="J400" s="10" t="s">
        <v>92</v>
      </c>
      <c r="K400" s="31">
        <v>1225</v>
      </c>
      <c r="L400" s="31"/>
      <c r="M400" s="31">
        <v>1225</v>
      </c>
      <c r="N400" s="31"/>
      <c r="O400" s="31">
        <v>1225</v>
      </c>
      <c r="P400" s="9" t="s">
        <v>26</v>
      </c>
      <c r="Q400" s="12" t="s">
        <v>93</v>
      </c>
      <c r="T400" s="8">
        <f t="shared" si="9"/>
        <v>1225</v>
      </c>
    </row>
    <row r="401" spans="2:20" x14ac:dyDescent="0.35">
      <c r="B401" s="15">
        <v>404</v>
      </c>
      <c r="C401" s="45">
        <v>45929</v>
      </c>
      <c r="D401" s="10">
        <v>1289</v>
      </c>
      <c r="E401" s="29">
        <v>45940</v>
      </c>
      <c r="F401" s="14">
        <v>45931</v>
      </c>
      <c r="G401" s="30" t="s">
        <v>857</v>
      </c>
      <c r="H401" s="7" t="s">
        <v>53</v>
      </c>
      <c r="I401" s="7" t="s">
        <v>619</v>
      </c>
      <c r="J401" s="10" t="s">
        <v>55</v>
      </c>
      <c r="K401" s="31">
        <v>30268</v>
      </c>
      <c r="L401" s="31">
        <v>1513.4</v>
      </c>
      <c r="M401" s="31">
        <v>31781.4</v>
      </c>
      <c r="N401" s="31"/>
      <c r="O401" s="31">
        <v>31781.4</v>
      </c>
      <c r="P401" s="9" t="s">
        <v>41</v>
      </c>
      <c r="Q401" s="12" t="s">
        <v>27</v>
      </c>
      <c r="T401" s="8">
        <f t="shared" si="9"/>
        <v>31781.4</v>
      </c>
    </row>
    <row r="402" spans="2:20" ht="28.5" x14ac:dyDescent="0.35">
      <c r="B402" s="15">
        <v>405</v>
      </c>
      <c r="C402" s="45">
        <v>45937</v>
      </c>
      <c r="D402" s="10">
        <v>2554</v>
      </c>
      <c r="E402" s="29">
        <v>45952</v>
      </c>
      <c r="F402" s="14">
        <v>45931</v>
      </c>
      <c r="G402" s="30" t="s">
        <v>857</v>
      </c>
      <c r="H402" s="7" t="s">
        <v>23</v>
      </c>
      <c r="I402" s="7" t="s">
        <v>620</v>
      </c>
      <c r="J402" s="10" t="s">
        <v>46</v>
      </c>
      <c r="K402" s="31">
        <v>8953</v>
      </c>
      <c r="L402" s="31">
        <v>1116</v>
      </c>
      <c r="M402" s="31">
        <v>10069</v>
      </c>
      <c r="N402" s="31"/>
      <c r="O402" s="31">
        <v>10069</v>
      </c>
      <c r="P402" s="9" t="s">
        <v>26</v>
      </c>
      <c r="Q402" s="12" t="s">
        <v>67</v>
      </c>
      <c r="T402" s="8">
        <f t="shared" si="9"/>
        <v>10069</v>
      </c>
    </row>
    <row r="403" spans="2:20" x14ac:dyDescent="0.35">
      <c r="B403" s="15">
        <v>406</v>
      </c>
      <c r="C403" s="45">
        <v>45945</v>
      </c>
      <c r="D403" s="10">
        <v>1</v>
      </c>
      <c r="E403" s="29">
        <v>45952</v>
      </c>
      <c r="F403" s="14">
        <v>45931</v>
      </c>
      <c r="G403" s="30" t="s">
        <v>857</v>
      </c>
      <c r="H403" s="7" t="s">
        <v>120</v>
      </c>
      <c r="I403" s="7" t="s">
        <v>621</v>
      </c>
      <c r="J403" s="10" t="s">
        <v>122</v>
      </c>
      <c r="K403" s="31">
        <v>1200</v>
      </c>
      <c r="L403" s="31"/>
      <c r="M403" s="31">
        <v>1200</v>
      </c>
      <c r="N403" s="31"/>
      <c r="O403" s="31">
        <v>1200</v>
      </c>
      <c r="P403" s="9" t="s">
        <v>26</v>
      </c>
      <c r="Q403" s="12" t="s">
        <v>27</v>
      </c>
      <c r="T403" s="8">
        <f t="shared" si="9"/>
        <v>1200</v>
      </c>
    </row>
    <row r="404" spans="2:20" x14ac:dyDescent="0.35">
      <c r="B404" s="15">
        <v>407</v>
      </c>
      <c r="C404" s="45">
        <v>45945</v>
      </c>
      <c r="D404" s="10">
        <v>2</v>
      </c>
      <c r="E404" s="29">
        <v>45952</v>
      </c>
      <c r="F404" s="14">
        <v>45931</v>
      </c>
      <c r="G404" s="30" t="s">
        <v>857</v>
      </c>
      <c r="H404" s="7" t="s">
        <v>120</v>
      </c>
      <c r="I404" s="7" t="s">
        <v>622</v>
      </c>
      <c r="J404" s="10" t="s">
        <v>92</v>
      </c>
      <c r="K404" s="31">
        <v>736</v>
      </c>
      <c r="L404" s="31"/>
      <c r="M404" s="31">
        <v>736</v>
      </c>
      <c r="N404" s="31"/>
      <c r="O404" s="31">
        <v>736</v>
      </c>
      <c r="P404" s="9" t="s">
        <v>26</v>
      </c>
      <c r="Q404" s="12" t="s">
        <v>93</v>
      </c>
      <c r="T404" s="8">
        <f t="shared" si="9"/>
        <v>736</v>
      </c>
    </row>
    <row r="405" spans="2:20" x14ac:dyDescent="0.35">
      <c r="B405" s="15">
        <v>408</v>
      </c>
      <c r="C405" s="45">
        <v>45931</v>
      </c>
      <c r="D405" s="10" t="s">
        <v>623</v>
      </c>
      <c r="E405" s="29">
        <v>45952</v>
      </c>
      <c r="F405" s="14">
        <v>45901</v>
      </c>
      <c r="G405" s="11" t="s">
        <v>860</v>
      </c>
      <c r="H405" s="7" t="s">
        <v>352</v>
      </c>
      <c r="I405" s="7" t="s">
        <v>353</v>
      </c>
      <c r="J405" s="10" t="s">
        <v>40</v>
      </c>
      <c r="K405" s="31">
        <v>8980</v>
      </c>
      <c r="L405" s="31">
        <v>1617</v>
      </c>
      <c r="M405" s="31">
        <v>10597</v>
      </c>
      <c r="N405" s="31">
        <v>180</v>
      </c>
      <c r="O405" s="31">
        <v>10417</v>
      </c>
      <c r="P405" s="9" t="s">
        <v>41</v>
      </c>
      <c r="Q405" s="12" t="s">
        <v>27</v>
      </c>
      <c r="T405" s="8">
        <f t="shared" si="9"/>
        <v>10597</v>
      </c>
    </row>
    <row r="406" spans="2:20" x14ac:dyDescent="0.35">
      <c r="B406" s="15">
        <v>409</v>
      </c>
      <c r="C406" s="45">
        <v>45948</v>
      </c>
      <c r="D406" s="10" t="s">
        <v>624</v>
      </c>
      <c r="E406" s="29">
        <v>45952</v>
      </c>
      <c r="F406" s="14">
        <v>45931</v>
      </c>
      <c r="G406" s="30" t="s">
        <v>857</v>
      </c>
      <c r="H406" s="7" t="s">
        <v>453</v>
      </c>
      <c r="I406" s="7" t="s">
        <v>625</v>
      </c>
      <c r="J406" s="10" t="s">
        <v>626</v>
      </c>
      <c r="K406" s="31">
        <v>83500</v>
      </c>
      <c r="L406" s="31">
        <v>15030</v>
      </c>
      <c r="M406" s="31">
        <v>98530</v>
      </c>
      <c r="N406" s="31">
        <v>835</v>
      </c>
      <c r="O406" s="31">
        <v>97695</v>
      </c>
      <c r="P406" s="9" t="s">
        <v>19</v>
      </c>
      <c r="Q406" s="12" t="s">
        <v>27</v>
      </c>
      <c r="T406" s="8">
        <f t="shared" si="9"/>
        <v>98530</v>
      </c>
    </row>
    <row r="407" spans="2:20" x14ac:dyDescent="0.35">
      <c r="B407" s="15">
        <v>410</v>
      </c>
      <c r="C407" s="45">
        <v>45926</v>
      </c>
      <c r="D407" s="10" t="s">
        <v>548</v>
      </c>
      <c r="E407" s="29">
        <v>45952</v>
      </c>
      <c r="F407" s="14">
        <v>45931</v>
      </c>
      <c r="G407" s="30" t="s">
        <v>857</v>
      </c>
      <c r="H407" s="7" t="s">
        <v>453</v>
      </c>
      <c r="I407" s="7" t="s">
        <v>627</v>
      </c>
      <c r="J407" s="10" t="s">
        <v>628</v>
      </c>
      <c r="K407" s="31">
        <v>865425</v>
      </c>
      <c r="L407" s="31">
        <v>155777</v>
      </c>
      <c r="M407" s="31">
        <v>1021202</v>
      </c>
      <c r="N407" s="31">
        <v>8654</v>
      </c>
      <c r="O407" s="31">
        <v>510601</v>
      </c>
      <c r="P407" s="9" t="s">
        <v>19</v>
      </c>
      <c r="Q407" s="12" t="s">
        <v>27</v>
      </c>
      <c r="T407" s="8">
        <f t="shared" si="9"/>
        <v>519255</v>
      </c>
    </row>
    <row r="408" spans="2:20" x14ac:dyDescent="0.35">
      <c r="B408" s="15">
        <v>411</v>
      </c>
      <c r="C408" s="45">
        <v>45940</v>
      </c>
      <c r="D408" s="10">
        <v>1</v>
      </c>
      <c r="E408" s="29">
        <v>45952</v>
      </c>
      <c r="F408" s="14">
        <v>45931</v>
      </c>
      <c r="G408" s="30" t="s">
        <v>857</v>
      </c>
      <c r="H408" s="7" t="s">
        <v>120</v>
      </c>
      <c r="I408" s="7" t="s">
        <v>629</v>
      </c>
      <c r="J408" s="10" t="s">
        <v>122</v>
      </c>
      <c r="K408" s="31">
        <v>6926</v>
      </c>
      <c r="L408" s="31"/>
      <c r="M408" s="31">
        <v>6926</v>
      </c>
      <c r="N408" s="31"/>
      <c r="O408" s="31">
        <v>6926</v>
      </c>
      <c r="P408" s="9" t="s">
        <v>26</v>
      </c>
      <c r="Q408" s="12" t="s">
        <v>27</v>
      </c>
      <c r="T408" s="8">
        <f t="shared" si="9"/>
        <v>6926</v>
      </c>
    </row>
    <row r="409" spans="2:20" x14ac:dyDescent="0.35">
      <c r="B409" s="15">
        <v>412</v>
      </c>
      <c r="C409" s="45">
        <v>45940</v>
      </c>
      <c r="D409" s="10">
        <v>2</v>
      </c>
      <c r="E409" s="29">
        <v>45952</v>
      </c>
      <c r="F409" s="14">
        <v>45931</v>
      </c>
      <c r="G409" s="30" t="s">
        <v>857</v>
      </c>
      <c r="H409" s="7" t="s">
        <v>120</v>
      </c>
      <c r="I409" s="7" t="s">
        <v>630</v>
      </c>
      <c r="J409" s="10" t="s">
        <v>122</v>
      </c>
      <c r="K409" s="31">
        <v>3080</v>
      </c>
      <c r="L409" s="31"/>
      <c r="M409" s="31">
        <v>3080</v>
      </c>
      <c r="N409" s="31"/>
      <c r="O409" s="31">
        <v>3080</v>
      </c>
      <c r="P409" s="9" t="s">
        <v>26</v>
      </c>
      <c r="Q409" s="12" t="s">
        <v>27</v>
      </c>
      <c r="T409" s="8">
        <f t="shared" si="9"/>
        <v>3080</v>
      </c>
    </row>
    <row r="410" spans="2:20" ht="28.5" x14ac:dyDescent="0.35">
      <c r="B410" s="15">
        <v>413</v>
      </c>
      <c r="C410" s="45">
        <v>45933</v>
      </c>
      <c r="D410" s="10" t="s">
        <v>529</v>
      </c>
      <c r="E410" s="29">
        <v>45952</v>
      </c>
      <c r="F410" s="14">
        <v>45931</v>
      </c>
      <c r="G410" s="30" t="s">
        <v>857</v>
      </c>
      <c r="H410" s="7" t="s">
        <v>453</v>
      </c>
      <c r="I410" s="7" t="s">
        <v>631</v>
      </c>
      <c r="J410" s="10" t="s">
        <v>455</v>
      </c>
      <c r="K410" s="31">
        <v>791475</v>
      </c>
      <c r="L410" s="31">
        <v>142466</v>
      </c>
      <c r="M410" s="31">
        <v>933941</v>
      </c>
      <c r="N410" s="31">
        <v>7915</v>
      </c>
      <c r="O410" s="31">
        <v>221613</v>
      </c>
      <c r="P410" s="9" t="s">
        <v>19</v>
      </c>
      <c r="Q410" s="12" t="s">
        <v>27</v>
      </c>
      <c r="T410" s="8">
        <f t="shared" si="9"/>
        <v>229528</v>
      </c>
    </row>
    <row r="411" spans="2:20" x14ac:dyDescent="0.35">
      <c r="B411" s="15">
        <v>414</v>
      </c>
      <c r="C411" s="45">
        <v>45949</v>
      </c>
      <c r="D411" s="10" t="s">
        <v>632</v>
      </c>
      <c r="E411" s="29">
        <v>45952</v>
      </c>
      <c r="F411" s="14">
        <v>45931</v>
      </c>
      <c r="G411" s="30" t="s">
        <v>857</v>
      </c>
      <c r="H411" s="7" t="s">
        <v>581</v>
      </c>
      <c r="I411" s="7" t="s">
        <v>633</v>
      </c>
      <c r="J411" s="10" t="s">
        <v>583</v>
      </c>
      <c r="K411" s="31">
        <v>595530</v>
      </c>
      <c r="L411" s="31">
        <v>107195</v>
      </c>
      <c r="M411" s="31">
        <v>702725</v>
      </c>
      <c r="N411" s="31">
        <v>11911</v>
      </c>
      <c r="O411" s="31">
        <v>690815</v>
      </c>
      <c r="P411" s="9" t="s">
        <v>26</v>
      </c>
      <c r="Q411" s="12" t="s">
        <v>27</v>
      </c>
      <c r="T411" s="8">
        <f t="shared" si="9"/>
        <v>702726</v>
      </c>
    </row>
    <row r="412" spans="2:20" x14ac:dyDescent="0.35">
      <c r="B412" s="15">
        <v>415</v>
      </c>
      <c r="C412" s="45">
        <v>45949</v>
      </c>
      <c r="D412" s="10" t="s">
        <v>634</v>
      </c>
      <c r="E412" s="29">
        <v>45952</v>
      </c>
      <c r="F412" s="14">
        <v>45931</v>
      </c>
      <c r="G412" s="30" t="s">
        <v>857</v>
      </c>
      <c r="H412" s="7" t="s">
        <v>581</v>
      </c>
      <c r="I412" s="7" t="s">
        <v>635</v>
      </c>
      <c r="J412" s="10" t="s">
        <v>583</v>
      </c>
      <c r="K412" s="31">
        <v>405300</v>
      </c>
      <c r="L412" s="31">
        <v>74034</v>
      </c>
      <c r="M412" s="31">
        <v>479334</v>
      </c>
      <c r="N412" s="31">
        <v>8106</v>
      </c>
      <c r="O412" s="31">
        <v>471228</v>
      </c>
      <c r="P412" s="9" t="s">
        <v>26</v>
      </c>
      <c r="Q412" s="12" t="s">
        <v>27</v>
      </c>
      <c r="T412" s="8">
        <f t="shared" si="9"/>
        <v>479334</v>
      </c>
    </row>
    <row r="413" spans="2:20" x14ac:dyDescent="0.35">
      <c r="B413" s="15">
        <v>416</v>
      </c>
      <c r="C413" s="45">
        <v>45952</v>
      </c>
      <c r="D413" s="10" t="s">
        <v>636</v>
      </c>
      <c r="E413" s="29">
        <v>45955</v>
      </c>
      <c r="F413" s="14">
        <v>45931</v>
      </c>
      <c r="G413" s="30" t="s">
        <v>857</v>
      </c>
      <c r="H413" s="7" t="s">
        <v>138</v>
      </c>
      <c r="I413" s="7" t="s">
        <v>637</v>
      </c>
      <c r="J413" s="13" t="s">
        <v>140</v>
      </c>
      <c r="K413" s="31">
        <v>5600</v>
      </c>
      <c r="L413" s="31">
        <v>1008</v>
      </c>
      <c r="M413" s="31">
        <v>6608</v>
      </c>
      <c r="N413" s="31"/>
      <c r="O413" s="31">
        <v>6608</v>
      </c>
      <c r="P413" s="9" t="s">
        <v>26</v>
      </c>
      <c r="Q413" s="12" t="s">
        <v>27</v>
      </c>
      <c r="T413" s="8">
        <f t="shared" si="9"/>
        <v>6608</v>
      </c>
    </row>
    <row r="414" spans="2:20" x14ac:dyDescent="0.35">
      <c r="B414" s="15">
        <v>417</v>
      </c>
      <c r="C414" s="45">
        <v>45950</v>
      </c>
      <c r="D414" s="10" t="s">
        <v>638</v>
      </c>
      <c r="E414" s="29">
        <v>45955</v>
      </c>
      <c r="F414" s="14">
        <v>45931</v>
      </c>
      <c r="G414" s="30" t="s">
        <v>857</v>
      </c>
      <c r="H414" s="7" t="s">
        <v>138</v>
      </c>
      <c r="I414" s="7" t="s">
        <v>639</v>
      </c>
      <c r="J414" s="10" t="s">
        <v>464</v>
      </c>
      <c r="K414" s="31">
        <v>29800</v>
      </c>
      <c r="L414" s="31">
        <v>5364</v>
      </c>
      <c r="M414" s="31">
        <v>35164</v>
      </c>
      <c r="N414" s="31"/>
      <c r="O414" s="31">
        <v>35164</v>
      </c>
      <c r="P414" s="9" t="s">
        <v>19</v>
      </c>
      <c r="Q414" s="12" t="s">
        <v>27</v>
      </c>
      <c r="T414" s="8">
        <f t="shared" si="9"/>
        <v>35164</v>
      </c>
    </row>
    <row r="415" spans="2:20" x14ac:dyDescent="0.35">
      <c r="B415" s="15">
        <v>418</v>
      </c>
      <c r="C415" s="45">
        <v>45952</v>
      </c>
      <c r="D415" s="10" t="s">
        <v>548</v>
      </c>
      <c r="E415" s="29">
        <v>45955</v>
      </c>
      <c r="F415" s="14">
        <v>45931</v>
      </c>
      <c r="G415" s="30" t="s">
        <v>857</v>
      </c>
      <c r="H415" s="7" t="s">
        <v>411</v>
      </c>
      <c r="I415" s="7" t="s">
        <v>640</v>
      </c>
      <c r="J415" s="10" t="s">
        <v>641</v>
      </c>
      <c r="K415" s="31">
        <v>39750</v>
      </c>
      <c r="L415" s="31">
        <v>7155</v>
      </c>
      <c r="M415" s="31">
        <v>46905</v>
      </c>
      <c r="N415" s="31">
        <v>398</v>
      </c>
      <c r="O415" s="31">
        <v>19478</v>
      </c>
      <c r="P415" s="9" t="s">
        <v>19</v>
      </c>
      <c r="Q415" s="12" t="s">
        <v>20</v>
      </c>
      <c r="T415" s="8">
        <f t="shared" si="9"/>
        <v>19876</v>
      </c>
    </row>
    <row r="416" spans="2:20" x14ac:dyDescent="0.35">
      <c r="B416" s="15">
        <v>419</v>
      </c>
      <c r="C416" s="45">
        <v>45952</v>
      </c>
      <c r="D416" s="10" t="s">
        <v>548</v>
      </c>
      <c r="E416" s="29">
        <v>45955</v>
      </c>
      <c r="F416" s="14">
        <v>45931</v>
      </c>
      <c r="G416" s="30" t="s">
        <v>857</v>
      </c>
      <c r="H416" s="7" t="s">
        <v>411</v>
      </c>
      <c r="I416" s="7" t="s">
        <v>642</v>
      </c>
      <c r="J416" s="10" t="s">
        <v>641</v>
      </c>
      <c r="K416" s="31">
        <v>36750</v>
      </c>
      <c r="L416" s="31">
        <v>6615</v>
      </c>
      <c r="M416" s="31">
        <v>43365</v>
      </c>
      <c r="N416" s="31">
        <v>368</v>
      </c>
      <c r="O416" s="31">
        <v>18008</v>
      </c>
      <c r="P416" s="9" t="s">
        <v>19</v>
      </c>
      <c r="Q416" s="12" t="s">
        <v>20</v>
      </c>
      <c r="T416" s="8">
        <f t="shared" si="9"/>
        <v>18376</v>
      </c>
    </row>
    <row r="417" spans="2:20" x14ac:dyDescent="0.35">
      <c r="B417" s="15">
        <v>420</v>
      </c>
      <c r="C417" s="45">
        <v>45952</v>
      </c>
      <c r="D417" s="10" t="s">
        <v>548</v>
      </c>
      <c r="E417" s="29">
        <v>45955</v>
      </c>
      <c r="F417" s="14">
        <v>45931</v>
      </c>
      <c r="G417" s="30" t="s">
        <v>857</v>
      </c>
      <c r="H417" s="7" t="s">
        <v>411</v>
      </c>
      <c r="I417" s="7" t="s">
        <v>643</v>
      </c>
      <c r="J417" s="10" t="s">
        <v>641</v>
      </c>
      <c r="K417" s="31">
        <v>30000</v>
      </c>
      <c r="L417" s="31">
        <v>5400</v>
      </c>
      <c r="M417" s="31">
        <v>35400</v>
      </c>
      <c r="N417" s="31">
        <v>300</v>
      </c>
      <c r="O417" s="31">
        <v>14700</v>
      </c>
      <c r="P417" s="9" t="s">
        <v>19</v>
      </c>
      <c r="Q417" s="12" t="s">
        <v>20</v>
      </c>
      <c r="T417" s="8">
        <f t="shared" si="9"/>
        <v>15000</v>
      </c>
    </row>
    <row r="418" spans="2:20" x14ac:dyDescent="0.35">
      <c r="B418" s="15">
        <v>421</v>
      </c>
      <c r="C418" s="45">
        <v>45948</v>
      </c>
      <c r="D418" s="10">
        <v>1</v>
      </c>
      <c r="E418" s="29">
        <v>45955</v>
      </c>
      <c r="F418" s="14">
        <v>45931</v>
      </c>
      <c r="G418" s="30" t="s">
        <v>857</v>
      </c>
      <c r="H418" s="7" t="s">
        <v>120</v>
      </c>
      <c r="I418" s="7" t="s">
        <v>644</v>
      </c>
      <c r="J418" s="10" t="s">
        <v>122</v>
      </c>
      <c r="K418" s="31">
        <v>1600</v>
      </c>
      <c r="L418" s="31"/>
      <c r="M418" s="31">
        <v>1600</v>
      </c>
      <c r="N418" s="31"/>
      <c r="O418" s="31">
        <v>1600</v>
      </c>
      <c r="P418" s="9" t="s">
        <v>26</v>
      </c>
      <c r="Q418" s="12" t="s">
        <v>27</v>
      </c>
      <c r="T418" s="8">
        <f t="shared" si="9"/>
        <v>1600</v>
      </c>
    </row>
    <row r="419" spans="2:20" x14ac:dyDescent="0.35">
      <c r="B419" s="15">
        <v>422</v>
      </c>
      <c r="C419" s="45">
        <v>45949</v>
      </c>
      <c r="D419" s="10">
        <v>886</v>
      </c>
      <c r="E419" s="29">
        <v>45955</v>
      </c>
      <c r="F419" s="14">
        <v>45931</v>
      </c>
      <c r="G419" s="30" t="s">
        <v>857</v>
      </c>
      <c r="H419" s="7" t="s">
        <v>523</v>
      </c>
      <c r="I419" s="7" t="s">
        <v>645</v>
      </c>
      <c r="J419" s="10" t="s">
        <v>92</v>
      </c>
      <c r="K419" s="31">
        <v>1186</v>
      </c>
      <c r="L419" s="31">
        <v>213</v>
      </c>
      <c r="M419" s="31">
        <v>1399</v>
      </c>
      <c r="N419" s="31"/>
      <c r="O419" s="31">
        <v>1399</v>
      </c>
      <c r="P419" s="9" t="s">
        <v>26</v>
      </c>
      <c r="Q419" s="12" t="s">
        <v>93</v>
      </c>
      <c r="T419" s="8">
        <f t="shared" si="9"/>
        <v>1399</v>
      </c>
    </row>
    <row r="420" spans="2:20" ht="28.5" x14ac:dyDescent="0.35">
      <c r="B420" s="15">
        <v>423</v>
      </c>
      <c r="C420" s="45">
        <v>45948</v>
      </c>
      <c r="D420" s="10">
        <v>12</v>
      </c>
      <c r="E420" s="29">
        <v>45955</v>
      </c>
      <c r="F420" s="14">
        <v>45931</v>
      </c>
      <c r="G420" s="30" t="s">
        <v>857</v>
      </c>
      <c r="H420" s="7" t="s">
        <v>646</v>
      </c>
      <c r="I420" s="7" t="s">
        <v>647</v>
      </c>
      <c r="J420" s="10" t="s">
        <v>92</v>
      </c>
      <c r="K420" s="31">
        <v>93900</v>
      </c>
      <c r="L420" s="31">
        <v>16902</v>
      </c>
      <c r="M420" s="31">
        <v>110802</v>
      </c>
      <c r="N420" s="31"/>
      <c r="O420" s="31">
        <v>110802</v>
      </c>
      <c r="P420" s="9" t="s">
        <v>26</v>
      </c>
      <c r="Q420" s="12" t="s">
        <v>93</v>
      </c>
      <c r="T420" s="8">
        <f t="shared" si="9"/>
        <v>110802</v>
      </c>
    </row>
    <row r="421" spans="2:20" x14ac:dyDescent="0.35">
      <c r="B421" s="15">
        <v>424</v>
      </c>
      <c r="C421" s="45">
        <v>45931</v>
      </c>
      <c r="D421" s="10" t="s">
        <v>648</v>
      </c>
      <c r="E421" s="29">
        <v>45958</v>
      </c>
      <c r="F421" s="14">
        <v>45931</v>
      </c>
      <c r="G421" s="30" t="s">
        <v>857</v>
      </c>
      <c r="H421" s="7" t="s">
        <v>406</v>
      </c>
      <c r="I421" s="7" t="s">
        <v>649</v>
      </c>
      <c r="J421" s="10" t="s">
        <v>408</v>
      </c>
      <c r="K421" s="31">
        <v>125100</v>
      </c>
      <c r="L421" s="31">
        <v>22518</v>
      </c>
      <c r="M421" s="31">
        <v>147618</v>
      </c>
      <c r="N421" s="31">
        <v>2502</v>
      </c>
      <c r="O421" s="31">
        <v>145116</v>
      </c>
      <c r="P421" s="9" t="s">
        <v>41</v>
      </c>
      <c r="Q421" s="12" t="s">
        <v>31</v>
      </c>
      <c r="T421" s="8">
        <f t="shared" si="9"/>
        <v>147618</v>
      </c>
    </row>
    <row r="422" spans="2:20" x14ac:dyDescent="0.35">
      <c r="B422" s="15">
        <v>425</v>
      </c>
      <c r="C422" s="45">
        <v>45948</v>
      </c>
      <c r="D422" s="10" t="s">
        <v>650</v>
      </c>
      <c r="E422" s="29">
        <v>45958</v>
      </c>
      <c r="F422" s="14">
        <v>45931</v>
      </c>
      <c r="G422" s="30" t="s">
        <v>857</v>
      </c>
      <c r="H422" s="7" t="s">
        <v>49</v>
      </c>
      <c r="I422" s="7" t="s">
        <v>651</v>
      </c>
      <c r="J422" s="10" t="s">
        <v>361</v>
      </c>
      <c r="K422" s="31">
        <v>6850</v>
      </c>
      <c r="L422" s="31">
        <v>1233</v>
      </c>
      <c r="M422" s="31">
        <v>8083</v>
      </c>
      <c r="N422" s="31">
        <v>69</v>
      </c>
      <c r="O422" s="31">
        <v>8015</v>
      </c>
      <c r="P422" s="9" t="s">
        <v>26</v>
      </c>
      <c r="Q422" s="12" t="s">
        <v>31</v>
      </c>
      <c r="T422" s="8">
        <f t="shared" si="9"/>
        <v>8084</v>
      </c>
    </row>
    <row r="423" spans="2:20" ht="28.5" x14ac:dyDescent="0.35">
      <c r="B423" s="15">
        <v>426</v>
      </c>
      <c r="C423" s="45">
        <v>45955</v>
      </c>
      <c r="D423" s="10" t="s">
        <v>548</v>
      </c>
      <c r="E423" s="29">
        <v>45958</v>
      </c>
      <c r="F423" s="14">
        <v>45931</v>
      </c>
      <c r="G423" s="30" t="s">
        <v>857</v>
      </c>
      <c r="H423" s="7" t="s">
        <v>80</v>
      </c>
      <c r="I423" s="7" t="s">
        <v>652</v>
      </c>
      <c r="J423" s="10" t="s">
        <v>653</v>
      </c>
      <c r="K423" s="31">
        <v>505000</v>
      </c>
      <c r="L423" s="31">
        <v>90900</v>
      </c>
      <c r="M423" s="31">
        <v>595900</v>
      </c>
      <c r="N423" s="31"/>
      <c r="O423" s="31">
        <v>247450</v>
      </c>
      <c r="P423" s="9" t="s">
        <v>19</v>
      </c>
      <c r="Q423" s="12" t="s">
        <v>27</v>
      </c>
      <c r="T423" s="8">
        <f t="shared" si="9"/>
        <v>247450</v>
      </c>
    </row>
    <row r="424" spans="2:20" x14ac:dyDescent="0.35">
      <c r="B424" s="15">
        <v>427</v>
      </c>
      <c r="C424" s="45">
        <v>45916</v>
      </c>
      <c r="D424" s="10" t="s">
        <v>548</v>
      </c>
      <c r="E424" s="29">
        <v>45959</v>
      </c>
      <c r="F424" s="14">
        <v>45931</v>
      </c>
      <c r="G424" s="30" t="s">
        <v>857</v>
      </c>
      <c r="H424" s="7" t="s">
        <v>654</v>
      </c>
      <c r="I424" s="7" t="s">
        <v>655</v>
      </c>
      <c r="J424" s="10" t="s">
        <v>656</v>
      </c>
      <c r="K424" s="31">
        <v>289200</v>
      </c>
      <c r="L424" s="31">
        <v>52056</v>
      </c>
      <c r="M424" s="31">
        <v>341256</v>
      </c>
      <c r="N424" s="31"/>
      <c r="O424" s="31">
        <v>100000</v>
      </c>
      <c r="P424" s="9" t="s">
        <v>19</v>
      </c>
      <c r="Q424" s="12" t="s">
        <v>241</v>
      </c>
      <c r="T424" s="8">
        <f t="shared" si="9"/>
        <v>100000</v>
      </c>
    </row>
    <row r="425" spans="2:20" x14ac:dyDescent="0.35">
      <c r="B425" s="15">
        <v>428</v>
      </c>
      <c r="C425" s="45">
        <v>45957</v>
      </c>
      <c r="D425" s="10" t="s">
        <v>657</v>
      </c>
      <c r="E425" s="29">
        <v>45962</v>
      </c>
      <c r="F425" s="14">
        <v>45962</v>
      </c>
      <c r="G425" s="30" t="s">
        <v>857</v>
      </c>
      <c r="H425" s="7" t="s">
        <v>453</v>
      </c>
      <c r="I425" s="7" t="s">
        <v>658</v>
      </c>
      <c r="J425" s="10" t="s">
        <v>628</v>
      </c>
      <c r="K425" s="31">
        <v>14500</v>
      </c>
      <c r="L425" s="31">
        <v>2610</v>
      </c>
      <c r="M425" s="31">
        <v>17110</v>
      </c>
      <c r="N425" s="31">
        <v>145</v>
      </c>
      <c r="O425" s="31">
        <v>16965</v>
      </c>
      <c r="P425" s="9" t="s">
        <v>19</v>
      </c>
      <c r="Q425" s="12" t="s">
        <v>27</v>
      </c>
      <c r="T425" s="8">
        <f t="shared" si="9"/>
        <v>17110</v>
      </c>
    </row>
    <row r="426" spans="2:20" ht="28.5" x14ac:dyDescent="0.35">
      <c r="B426" s="15">
        <v>429</v>
      </c>
      <c r="C426" s="45">
        <v>45959</v>
      </c>
      <c r="D426" s="10">
        <v>1</v>
      </c>
      <c r="E426" s="29">
        <v>45962</v>
      </c>
      <c r="F426" s="14">
        <v>45962</v>
      </c>
      <c r="G426" s="30" t="s">
        <v>857</v>
      </c>
      <c r="H426" s="7" t="s">
        <v>659</v>
      </c>
      <c r="I426" s="7" t="s">
        <v>364</v>
      </c>
      <c r="J426" s="10" t="s">
        <v>660</v>
      </c>
      <c r="K426" s="31">
        <v>4275</v>
      </c>
      <c r="L426" s="31"/>
      <c r="M426" s="31">
        <v>4275</v>
      </c>
      <c r="N426" s="31"/>
      <c r="O426" s="31">
        <v>4275</v>
      </c>
      <c r="P426" s="9" t="s">
        <v>26</v>
      </c>
      <c r="Q426" s="12" t="s">
        <v>20</v>
      </c>
      <c r="T426" s="8">
        <f t="shared" si="9"/>
        <v>4275</v>
      </c>
    </row>
    <row r="427" spans="2:20" x14ac:dyDescent="0.35">
      <c r="B427" s="15">
        <v>430</v>
      </c>
      <c r="C427" s="45">
        <v>45950</v>
      </c>
      <c r="D427" s="10" t="s">
        <v>661</v>
      </c>
      <c r="E427" s="29">
        <v>45962</v>
      </c>
      <c r="F427" s="14">
        <v>45962</v>
      </c>
      <c r="G427" s="30" t="s">
        <v>857</v>
      </c>
      <c r="H427" s="7" t="s">
        <v>172</v>
      </c>
      <c r="I427" s="7" t="s">
        <v>662</v>
      </c>
      <c r="J427" s="10" t="s">
        <v>92</v>
      </c>
      <c r="K427" s="31">
        <v>11055</v>
      </c>
      <c r="L427" s="31">
        <v>1990</v>
      </c>
      <c r="M427" s="31">
        <v>13045</v>
      </c>
      <c r="N427" s="31">
        <v>0</v>
      </c>
      <c r="O427" s="31">
        <v>13045</v>
      </c>
      <c r="P427" s="9" t="s">
        <v>26</v>
      </c>
      <c r="Q427" s="12" t="s">
        <v>93</v>
      </c>
      <c r="T427" s="8">
        <f t="shared" si="9"/>
        <v>13045</v>
      </c>
    </row>
    <row r="428" spans="2:20" x14ac:dyDescent="0.35">
      <c r="B428" s="15">
        <v>431</v>
      </c>
      <c r="C428" s="45">
        <v>45910</v>
      </c>
      <c r="D428" s="10" t="s">
        <v>663</v>
      </c>
      <c r="E428" s="29">
        <v>45962</v>
      </c>
      <c r="F428" s="14">
        <v>45962</v>
      </c>
      <c r="G428" s="30" t="s">
        <v>857</v>
      </c>
      <c r="H428" s="7" t="s">
        <v>411</v>
      </c>
      <c r="I428" s="7" t="s">
        <v>664</v>
      </c>
      <c r="J428" s="10" t="s">
        <v>641</v>
      </c>
      <c r="K428" s="31">
        <v>39750</v>
      </c>
      <c r="L428" s="31">
        <v>7155</v>
      </c>
      <c r="M428" s="31">
        <v>46905</v>
      </c>
      <c r="N428" s="31"/>
      <c r="O428" s="31">
        <v>27030</v>
      </c>
      <c r="P428" s="9" t="s">
        <v>19</v>
      </c>
      <c r="Q428" s="12" t="s">
        <v>20</v>
      </c>
      <c r="T428" s="8">
        <f t="shared" si="9"/>
        <v>27030</v>
      </c>
    </row>
    <row r="429" spans="2:20" x14ac:dyDescent="0.35">
      <c r="B429" s="15">
        <v>432</v>
      </c>
      <c r="C429" s="45">
        <v>45910</v>
      </c>
      <c r="D429" s="10" t="s">
        <v>665</v>
      </c>
      <c r="E429" s="29">
        <v>45962</v>
      </c>
      <c r="F429" s="14">
        <v>45962</v>
      </c>
      <c r="G429" s="30" t="s">
        <v>857</v>
      </c>
      <c r="H429" s="7" t="s">
        <v>411</v>
      </c>
      <c r="I429" s="7" t="s">
        <v>666</v>
      </c>
      <c r="J429" s="10" t="s">
        <v>641</v>
      </c>
      <c r="K429" s="31">
        <v>36750</v>
      </c>
      <c r="L429" s="31">
        <v>6615</v>
      </c>
      <c r="M429" s="31">
        <v>43365</v>
      </c>
      <c r="N429" s="31"/>
      <c r="O429" s="31">
        <v>24990</v>
      </c>
      <c r="P429" s="9" t="s">
        <v>19</v>
      </c>
      <c r="Q429" s="12" t="s">
        <v>20</v>
      </c>
      <c r="T429" s="8">
        <f t="shared" si="9"/>
        <v>24990</v>
      </c>
    </row>
    <row r="430" spans="2:20" x14ac:dyDescent="0.35">
      <c r="B430" s="15">
        <v>433</v>
      </c>
      <c r="C430" s="45">
        <v>45910</v>
      </c>
      <c r="D430" s="10" t="s">
        <v>667</v>
      </c>
      <c r="E430" s="29">
        <v>45962</v>
      </c>
      <c r="F430" s="14">
        <v>45962</v>
      </c>
      <c r="G430" s="30" t="s">
        <v>857</v>
      </c>
      <c r="H430" s="7" t="s">
        <v>411</v>
      </c>
      <c r="I430" s="7" t="s">
        <v>668</v>
      </c>
      <c r="J430" s="10" t="s">
        <v>641</v>
      </c>
      <c r="K430" s="31">
        <v>30000</v>
      </c>
      <c r="L430" s="31">
        <v>5400</v>
      </c>
      <c r="M430" s="31">
        <v>35400</v>
      </c>
      <c r="N430" s="31"/>
      <c r="O430" s="31">
        <v>20400</v>
      </c>
      <c r="P430" s="9" t="s">
        <v>19</v>
      </c>
      <c r="Q430" s="12" t="s">
        <v>20</v>
      </c>
      <c r="T430" s="8">
        <f t="shared" si="9"/>
        <v>20400</v>
      </c>
    </row>
    <row r="431" spans="2:20" x14ac:dyDescent="0.35">
      <c r="B431" s="15"/>
      <c r="C431" s="45"/>
      <c r="D431" s="10"/>
      <c r="E431" s="29"/>
      <c r="F431" s="14"/>
      <c r="G431" s="30"/>
      <c r="H431" s="7"/>
      <c r="I431" s="7"/>
      <c r="J431" s="10"/>
      <c r="K431" s="31"/>
      <c r="L431" s="31"/>
      <c r="M431" s="31"/>
      <c r="N431" s="31"/>
      <c r="O431" s="31"/>
      <c r="P431" s="9"/>
      <c r="Q431" s="12"/>
      <c r="T431" s="8"/>
    </row>
    <row r="432" spans="2:20" x14ac:dyDescent="0.35">
      <c r="B432" s="15"/>
      <c r="C432" s="16"/>
      <c r="D432" s="17" t="s">
        <v>290</v>
      </c>
      <c r="E432" s="35">
        <v>45801</v>
      </c>
      <c r="F432" s="22">
        <v>45778</v>
      </c>
      <c r="G432" s="11" t="s">
        <v>860</v>
      </c>
      <c r="H432" s="7" t="s">
        <v>287</v>
      </c>
      <c r="I432" s="17" t="s">
        <v>291</v>
      </c>
      <c r="J432" s="18" t="s">
        <v>289</v>
      </c>
      <c r="K432" s="21">
        <v>749175</v>
      </c>
      <c r="L432" s="8">
        <v>134851</v>
      </c>
      <c r="M432" s="8">
        <v>884026</v>
      </c>
      <c r="N432" s="8">
        <v>14983</v>
      </c>
      <c r="O432" s="8">
        <v>869043</v>
      </c>
      <c r="P432" s="9" t="s">
        <v>41</v>
      </c>
      <c r="Q432" s="12" t="s">
        <v>20</v>
      </c>
      <c r="T432" s="8">
        <v>442013</v>
      </c>
    </row>
    <row r="433" spans="2:20" x14ac:dyDescent="0.35">
      <c r="B433" s="15"/>
      <c r="C433" s="16"/>
      <c r="D433" s="17" t="s">
        <v>292</v>
      </c>
      <c r="E433" s="35">
        <v>45801</v>
      </c>
      <c r="F433" s="22">
        <v>45778</v>
      </c>
      <c r="G433" s="11" t="s">
        <v>860</v>
      </c>
      <c r="H433" s="7" t="s">
        <v>287</v>
      </c>
      <c r="I433" s="17" t="s">
        <v>293</v>
      </c>
      <c r="J433" s="18" t="s">
        <v>289</v>
      </c>
      <c r="K433" s="21">
        <v>594663</v>
      </c>
      <c r="L433" s="8">
        <v>107039</v>
      </c>
      <c r="M433" s="8">
        <v>701702</v>
      </c>
      <c r="N433" s="8">
        <v>11893</v>
      </c>
      <c r="O433" s="8">
        <v>689809</v>
      </c>
      <c r="P433" s="9" t="s">
        <v>41</v>
      </c>
      <c r="Q433" s="12" t="s">
        <v>20</v>
      </c>
      <c r="T433" s="8">
        <v>350851</v>
      </c>
    </row>
    <row r="434" spans="2:20" x14ac:dyDescent="0.35">
      <c r="B434" s="15"/>
      <c r="C434" s="16"/>
      <c r="D434" s="17" t="s">
        <v>294</v>
      </c>
      <c r="E434" s="35">
        <v>45801</v>
      </c>
      <c r="F434" s="22">
        <v>45778</v>
      </c>
      <c r="G434" s="11" t="s">
        <v>860</v>
      </c>
      <c r="H434" s="7" t="s">
        <v>287</v>
      </c>
      <c r="I434" s="17" t="s">
        <v>295</v>
      </c>
      <c r="J434" s="18" t="s">
        <v>289</v>
      </c>
      <c r="K434" s="21">
        <v>873304</v>
      </c>
      <c r="L434" s="8">
        <v>157195</v>
      </c>
      <c r="M434" s="8">
        <v>1030499</v>
      </c>
      <c r="N434" s="8">
        <v>17466</v>
      </c>
      <c r="O434" s="8">
        <v>1013032</v>
      </c>
      <c r="P434" s="9" t="s">
        <v>41</v>
      </c>
      <c r="Q434" s="12" t="s">
        <v>20</v>
      </c>
      <c r="T434" s="8">
        <v>515249</v>
      </c>
    </row>
    <row r="435" spans="2:20" x14ac:dyDescent="0.35">
      <c r="B435" s="15"/>
      <c r="C435" s="56"/>
      <c r="D435" s="57"/>
      <c r="E435" s="58"/>
      <c r="F435" s="59"/>
      <c r="G435" s="30"/>
      <c r="H435" s="7"/>
      <c r="I435" s="57"/>
      <c r="J435" s="9"/>
      <c r="K435" s="60"/>
      <c r="L435" s="61"/>
      <c r="M435" s="61"/>
      <c r="N435" s="61"/>
      <c r="O435" s="61"/>
      <c r="P435" s="9"/>
      <c r="Q435" s="12"/>
      <c r="T435" s="8"/>
    </row>
    <row r="436" spans="2:20" ht="28.5" x14ac:dyDescent="0.35">
      <c r="B436" s="15">
        <v>434</v>
      </c>
      <c r="C436" s="45">
        <v>45726</v>
      </c>
      <c r="D436" s="10" t="s">
        <v>669</v>
      </c>
      <c r="E436" s="29">
        <v>45966</v>
      </c>
      <c r="F436" s="14">
        <v>45962</v>
      </c>
      <c r="G436" s="30" t="s">
        <v>857</v>
      </c>
      <c r="H436" s="7" t="s">
        <v>287</v>
      </c>
      <c r="I436" s="7" t="s">
        <v>670</v>
      </c>
      <c r="J436" s="10" t="s">
        <v>289</v>
      </c>
      <c r="K436" s="31">
        <v>594663</v>
      </c>
      <c r="L436" s="31">
        <v>107039</v>
      </c>
      <c r="M436" s="31">
        <v>701702</v>
      </c>
      <c r="N436" s="31">
        <v>11893</v>
      </c>
      <c r="O436" s="31">
        <v>689809</v>
      </c>
      <c r="P436" s="9" t="s">
        <v>41</v>
      </c>
      <c r="Q436" s="12" t="s">
        <v>20</v>
      </c>
      <c r="T436" s="8">
        <v>175425.5</v>
      </c>
    </row>
    <row r="437" spans="2:20" ht="28.5" x14ac:dyDescent="0.35">
      <c r="B437" s="15">
        <v>435</v>
      </c>
      <c r="C437" s="45">
        <v>45726</v>
      </c>
      <c r="D437" s="10" t="s">
        <v>671</v>
      </c>
      <c r="E437" s="29">
        <v>45966</v>
      </c>
      <c r="F437" s="14">
        <v>45962</v>
      </c>
      <c r="G437" s="30" t="s">
        <v>857</v>
      </c>
      <c r="H437" s="7" t="s">
        <v>287</v>
      </c>
      <c r="I437" s="7" t="s">
        <v>672</v>
      </c>
      <c r="J437" s="10" t="s">
        <v>289</v>
      </c>
      <c r="K437" s="31">
        <v>749175</v>
      </c>
      <c r="L437" s="31">
        <v>134851</v>
      </c>
      <c r="M437" s="31">
        <v>884026</v>
      </c>
      <c r="N437" s="31">
        <v>14983</v>
      </c>
      <c r="O437" s="31">
        <v>869043</v>
      </c>
      <c r="P437" s="9" t="s">
        <v>41</v>
      </c>
      <c r="Q437" s="12" t="s">
        <v>20</v>
      </c>
      <c r="T437" s="8">
        <v>221006.5</v>
      </c>
    </row>
    <row r="438" spans="2:20" ht="28.5" x14ac:dyDescent="0.35">
      <c r="B438" s="15">
        <v>436</v>
      </c>
      <c r="C438" s="45">
        <v>45726</v>
      </c>
      <c r="D438" s="10" t="s">
        <v>673</v>
      </c>
      <c r="E438" s="29">
        <v>45966</v>
      </c>
      <c r="F438" s="14">
        <v>45962</v>
      </c>
      <c r="G438" s="30" t="s">
        <v>857</v>
      </c>
      <c r="H438" s="7" t="s">
        <v>287</v>
      </c>
      <c r="I438" s="7" t="s">
        <v>670</v>
      </c>
      <c r="J438" s="10" t="s">
        <v>289</v>
      </c>
      <c r="K438" s="31">
        <v>60206</v>
      </c>
      <c r="L438" s="31">
        <v>10837</v>
      </c>
      <c r="M438" s="31">
        <v>71044</v>
      </c>
      <c r="N438" s="31">
        <v>1204</v>
      </c>
      <c r="O438" s="31">
        <v>69839</v>
      </c>
      <c r="P438" s="9" t="s">
        <v>41</v>
      </c>
      <c r="Q438" s="12" t="s">
        <v>20</v>
      </c>
      <c r="T438" s="8">
        <v>17760.75</v>
      </c>
    </row>
    <row r="439" spans="2:20" ht="28.5" x14ac:dyDescent="0.35">
      <c r="B439" s="15">
        <v>437</v>
      </c>
      <c r="C439" s="45">
        <v>45726</v>
      </c>
      <c r="D439" s="10" t="s">
        <v>674</v>
      </c>
      <c r="E439" s="29">
        <v>45966</v>
      </c>
      <c r="F439" s="14">
        <v>45962</v>
      </c>
      <c r="G439" s="30" t="s">
        <v>857</v>
      </c>
      <c r="H439" s="7" t="s">
        <v>287</v>
      </c>
      <c r="I439" s="7" t="s">
        <v>675</v>
      </c>
      <c r="J439" s="10" t="s">
        <v>289</v>
      </c>
      <c r="K439" s="31">
        <v>873303</v>
      </c>
      <c r="L439" s="31">
        <v>157195</v>
      </c>
      <c r="M439" s="31">
        <v>1030498</v>
      </c>
      <c r="N439" s="31">
        <v>17466</v>
      </c>
      <c r="O439" s="31">
        <v>1013031</v>
      </c>
      <c r="P439" s="9" t="s">
        <v>41</v>
      </c>
      <c r="Q439" s="12" t="s">
        <v>20</v>
      </c>
      <c r="T439" s="8">
        <v>257624.25</v>
      </c>
    </row>
    <row r="440" spans="2:20" ht="28.5" x14ac:dyDescent="0.35">
      <c r="B440" s="15">
        <v>438</v>
      </c>
      <c r="C440" s="45">
        <v>45960</v>
      </c>
      <c r="D440" s="10" t="s">
        <v>676</v>
      </c>
      <c r="E440" s="29">
        <v>45966</v>
      </c>
      <c r="F440" s="14">
        <v>45931</v>
      </c>
      <c r="G440" s="30" t="s">
        <v>857</v>
      </c>
      <c r="H440" s="7" t="s">
        <v>172</v>
      </c>
      <c r="I440" s="7" t="s">
        <v>677</v>
      </c>
      <c r="J440" s="10" t="s">
        <v>92</v>
      </c>
      <c r="K440" s="31">
        <v>24600</v>
      </c>
      <c r="L440" s="31">
        <v>4428</v>
      </c>
      <c r="M440" s="31">
        <v>29028</v>
      </c>
      <c r="N440" s="31"/>
      <c r="O440" s="31">
        <v>29028</v>
      </c>
      <c r="P440" s="9" t="s">
        <v>26</v>
      </c>
      <c r="Q440" s="12" t="s">
        <v>93</v>
      </c>
      <c r="T440" s="8">
        <f t="shared" si="9"/>
        <v>29028</v>
      </c>
    </row>
    <row r="441" spans="2:20" ht="28.5" x14ac:dyDescent="0.35">
      <c r="B441" s="15">
        <v>439</v>
      </c>
      <c r="C441" s="45">
        <v>45958</v>
      </c>
      <c r="D441" s="10" t="s">
        <v>678</v>
      </c>
      <c r="E441" s="29">
        <v>45966</v>
      </c>
      <c r="F441" s="14">
        <v>45931</v>
      </c>
      <c r="G441" s="30" t="s">
        <v>857</v>
      </c>
      <c r="H441" s="7" t="s">
        <v>172</v>
      </c>
      <c r="I441" s="7" t="s">
        <v>679</v>
      </c>
      <c r="J441" s="10" t="s">
        <v>92</v>
      </c>
      <c r="K441" s="31">
        <v>42330</v>
      </c>
      <c r="L441" s="31">
        <v>7619</v>
      </c>
      <c r="M441" s="31">
        <v>49949</v>
      </c>
      <c r="N441" s="31"/>
      <c r="O441" s="31">
        <v>49949</v>
      </c>
      <c r="P441" s="9" t="s">
        <v>26</v>
      </c>
      <c r="Q441" s="12" t="s">
        <v>93</v>
      </c>
      <c r="T441" s="8">
        <f t="shared" si="9"/>
        <v>49949</v>
      </c>
    </row>
    <row r="442" spans="2:20" x14ac:dyDescent="0.35">
      <c r="B442" s="15">
        <v>440</v>
      </c>
      <c r="C442" s="45">
        <v>45958</v>
      </c>
      <c r="D442" s="10" t="s">
        <v>680</v>
      </c>
      <c r="E442" s="29">
        <v>45966</v>
      </c>
      <c r="F442" s="14">
        <v>45931</v>
      </c>
      <c r="G442" s="30" t="s">
        <v>857</v>
      </c>
      <c r="H442" s="7" t="s">
        <v>172</v>
      </c>
      <c r="I442" s="7" t="s">
        <v>681</v>
      </c>
      <c r="J442" s="10" t="s">
        <v>92</v>
      </c>
      <c r="K442" s="31">
        <v>11055</v>
      </c>
      <c r="L442" s="31">
        <v>1990</v>
      </c>
      <c r="M442" s="31">
        <v>13045</v>
      </c>
      <c r="N442" s="31"/>
      <c r="O442" s="31">
        <v>13045</v>
      </c>
      <c r="P442" s="9" t="s">
        <v>26</v>
      </c>
      <c r="Q442" s="12" t="s">
        <v>93</v>
      </c>
      <c r="T442" s="8">
        <f t="shared" si="9"/>
        <v>13045</v>
      </c>
    </row>
    <row r="443" spans="2:20" ht="28.5" x14ac:dyDescent="0.35">
      <c r="B443" s="15">
        <v>441</v>
      </c>
      <c r="C443" s="45">
        <v>45961</v>
      </c>
      <c r="D443" s="10">
        <v>1</v>
      </c>
      <c r="E443" s="29">
        <v>45966</v>
      </c>
      <c r="F443" s="14">
        <v>45931</v>
      </c>
      <c r="G443" s="30" t="s">
        <v>857</v>
      </c>
      <c r="H443" s="7" t="s">
        <v>659</v>
      </c>
      <c r="I443" s="7" t="s">
        <v>682</v>
      </c>
      <c r="J443" s="10" t="s">
        <v>660</v>
      </c>
      <c r="K443" s="31">
        <v>10400</v>
      </c>
      <c r="L443" s="31"/>
      <c r="M443" s="31">
        <v>10400</v>
      </c>
      <c r="N443" s="31"/>
      <c r="O443" s="31">
        <v>10400</v>
      </c>
      <c r="P443" s="9" t="s">
        <v>26</v>
      </c>
      <c r="Q443" s="12" t="s">
        <v>20</v>
      </c>
      <c r="T443" s="8">
        <f t="shared" si="9"/>
        <v>10400</v>
      </c>
    </row>
    <row r="444" spans="2:20" x14ac:dyDescent="0.35">
      <c r="B444" s="15">
        <v>442</v>
      </c>
      <c r="C444" s="45">
        <v>45667</v>
      </c>
      <c r="D444" s="10" t="s">
        <v>683</v>
      </c>
      <c r="E444" s="29">
        <v>45966</v>
      </c>
      <c r="F444" s="14">
        <v>45931</v>
      </c>
      <c r="G444" s="30" t="s">
        <v>857</v>
      </c>
      <c r="H444" s="7" t="s">
        <v>64</v>
      </c>
      <c r="I444" s="7" t="s">
        <v>547</v>
      </c>
      <c r="J444" s="10" t="s">
        <v>66</v>
      </c>
      <c r="K444" s="31">
        <v>110000</v>
      </c>
      <c r="L444" s="31">
        <v>19800</v>
      </c>
      <c r="M444" s="31">
        <v>129800</v>
      </c>
      <c r="N444" s="31">
        <v>1100</v>
      </c>
      <c r="O444" s="31">
        <v>128700</v>
      </c>
      <c r="P444" s="9" t="s">
        <v>41</v>
      </c>
      <c r="Q444" s="12" t="s">
        <v>67</v>
      </c>
      <c r="T444" s="8">
        <f t="shared" si="9"/>
        <v>129800</v>
      </c>
    </row>
    <row r="445" spans="2:20" ht="28.5" x14ac:dyDescent="0.35">
      <c r="B445" s="15">
        <v>443</v>
      </c>
      <c r="C445" s="45">
        <v>45947</v>
      </c>
      <c r="D445" s="10" t="s">
        <v>684</v>
      </c>
      <c r="E445" s="29">
        <v>45966</v>
      </c>
      <c r="F445" s="14">
        <v>45931</v>
      </c>
      <c r="G445" s="30" t="s">
        <v>857</v>
      </c>
      <c r="H445" s="7" t="s">
        <v>279</v>
      </c>
      <c r="I445" s="7" t="s">
        <v>685</v>
      </c>
      <c r="J445" s="10" t="s">
        <v>336</v>
      </c>
      <c r="K445" s="31">
        <v>139062</v>
      </c>
      <c r="L445" s="31">
        <v>25031</v>
      </c>
      <c r="M445" s="31">
        <v>164093</v>
      </c>
      <c r="N445" s="31"/>
      <c r="O445" s="31">
        <v>164093</v>
      </c>
      <c r="P445" s="9" t="s">
        <v>26</v>
      </c>
      <c r="Q445" s="12" t="s">
        <v>93</v>
      </c>
      <c r="T445" s="8">
        <f t="shared" si="9"/>
        <v>164093</v>
      </c>
    </row>
    <row r="446" spans="2:20" ht="28.5" x14ac:dyDescent="0.35">
      <c r="B446" s="15">
        <v>444</v>
      </c>
      <c r="C446" s="45">
        <v>45895</v>
      </c>
      <c r="D446" s="10" t="s">
        <v>686</v>
      </c>
      <c r="E446" s="29">
        <v>45966</v>
      </c>
      <c r="F446" s="14">
        <v>45962</v>
      </c>
      <c r="G446" s="30" t="s">
        <v>857</v>
      </c>
      <c r="H446" s="7" t="s">
        <v>307</v>
      </c>
      <c r="I446" s="7" t="s">
        <v>687</v>
      </c>
      <c r="J446" s="10" t="s">
        <v>688</v>
      </c>
      <c r="K446" s="31">
        <v>693239</v>
      </c>
      <c r="L446" s="31">
        <v>124783</v>
      </c>
      <c r="M446" s="31">
        <v>818022</v>
      </c>
      <c r="N446" s="31">
        <v>6932</v>
      </c>
      <c r="O446" s="31">
        <v>319583</v>
      </c>
      <c r="P446" s="9" t="s">
        <v>19</v>
      </c>
      <c r="Q446" s="12" t="s">
        <v>20</v>
      </c>
      <c r="T446" s="8">
        <f t="shared" si="9"/>
        <v>326515</v>
      </c>
    </row>
    <row r="447" spans="2:20" x14ac:dyDescent="0.35">
      <c r="B447" s="15">
        <v>445</v>
      </c>
      <c r="C447" s="45">
        <v>46002</v>
      </c>
      <c r="D447" s="10" t="s">
        <v>689</v>
      </c>
      <c r="E447" s="29">
        <v>45966</v>
      </c>
      <c r="F447" s="14">
        <v>45962</v>
      </c>
      <c r="G447" s="30" t="s">
        <v>857</v>
      </c>
      <c r="H447" s="7" t="s">
        <v>690</v>
      </c>
      <c r="I447" s="7" t="s">
        <v>691</v>
      </c>
      <c r="J447" s="10" t="s">
        <v>92</v>
      </c>
      <c r="K447" s="31">
        <v>31500</v>
      </c>
      <c r="L447" s="31">
        <v>5670</v>
      </c>
      <c r="M447" s="31">
        <v>37170</v>
      </c>
      <c r="N447" s="31"/>
      <c r="O447" s="31">
        <v>37170</v>
      </c>
      <c r="P447" s="9" t="s">
        <v>26</v>
      </c>
      <c r="Q447" s="12" t="s">
        <v>93</v>
      </c>
      <c r="T447" s="8">
        <f t="shared" si="9"/>
        <v>37170</v>
      </c>
    </row>
    <row r="448" spans="2:20" ht="28.5" x14ac:dyDescent="0.35">
      <c r="B448" s="15">
        <v>446</v>
      </c>
      <c r="C448" s="45">
        <v>45699</v>
      </c>
      <c r="D448" s="10">
        <v>1</v>
      </c>
      <c r="E448" s="29">
        <v>45968</v>
      </c>
      <c r="F448" s="14">
        <v>45962</v>
      </c>
      <c r="G448" s="30" t="s">
        <v>857</v>
      </c>
      <c r="H448" s="7" t="s">
        <v>659</v>
      </c>
      <c r="I448" s="7" t="s">
        <v>692</v>
      </c>
      <c r="J448" s="10" t="s">
        <v>660</v>
      </c>
      <c r="K448" s="31">
        <v>3200</v>
      </c>
      <c r="L448" s="31"/>
      <c r="M448" s="31">
        <v>3200</v>
      </c>
      <c r="N448" s="31"/>
      <c r="O448" s="31">
        <v>3200</v>
      </c>
      <c r="P448" s="9" t="s">
        <v>26</v>
      </c>
      <c r="Q448" s="12" t="s">
        <v>20</v>
      </c>
      <c r="T448" s="8">
        <f t="shared" si="9"/>
        <v>3200</v>
      </c>
    </row>
    <row r="449" spans="2:20" x14ac:dyDescent="0.35">
      <c r="B449" s="15">
        <v>447</v>
      </c>
      <c r="C449" s="45">
        <v>45961</v>
      </c>
      <c r="D449" s="10" t="s">
        <v>693</v>
      </c>
      <c r="E449" s="29">
        <v>45968</v>
      </c>
      <c r="F449" s="14">
        <v>45931</v>
      </c>
      <c r="G449" s="30" t="s">
        <v>857</v>
      </c>
      <c r="H449" s="7" t="s">
        <v>608</v>
      </c>
      <c r="I449" s="7" t="s">
        <v>609</v>
      </c>
      <c r="J449" s="10" t="s">
        <v>694</v>
      </c>
      <c r="K449" s="31">
        <v>21000</v>
      </c>
      <c r="L449" s="31">
        <v>3780</v>
      </c>
      <c r="M449" s="31">
        <v>24780</v>
      </c>
      <c r="N449" s="31">
        <v>210</v>
      </c>
      <c r="O449" s="31">
        <v>24570</v>
      </c>
      <c r="P449" s="9" t="s">
        <v>41</v>
      </c>
      <c r="Q449" s="12" t="s">
        <v>241</v>
      </c>
      <c r="T449" s="8">
        <f t="shared" si="9"/>
        <v>24780</v>
      </c>
    </row>
    <row r="450" spans="2:20" x14ac:dyDescent="0.35">
      <c r="B450" s="15">
        <v>448</v>
      </c>
      <c r="C450" s="45">
        <v>45758</v>
      </c>
      <c r="D450" s="10">
        <v>1</v>
      </c>
      <c r="E450" s="29">
        <v>45968</v>
      </c>
      <c r="F450" s="14">
        <v>45962</v>
      </c>
      <c r="G450" s="30" t="s">
        <v>857</v>
      </c>
      <c r="H450" s="7" t="s">
        <v>120</v>
      </c>
      <c r="I450" s="7" t="s">
        <v>695</v>
      </c>
      <c r="J450" s="10" t="s">
        <v>122</v>
      </c>
      <c r="K450" s="31">
        <v>800</v>
      </c>
      <c r="L450" s="31"/>
      <c r="M450" s="31">
        <v>800</v>
      </c>
      <c r="N450" s="31"/>
      <c r="O450" s="31">
        <v>800</v>
      </c>
      <c r="P450" s="9" t="s">
        <v>26</v>
      </c>
      <c r="Q450" s="12" t="s">
        <v>27</v>
      </c>
      <c r="T450" s="8">
        <f t="shared" si="9"/>
        <v>800</v>
      </c>
    </row>
    <row r="451" spans="2:20" ht="28.5" x14ac:dyDescent="0.35">
      <c r="B451" s="15">
        <v>449</v>
      </c>
      <c r="C451" s="45">
        <v>45727</v>
      </c>
      <c r="D451" s="10">
        <v>1</v>
      </c>
      <c r="E451" s="29">
        <v>45968</v>
      </c>
      <c r="F451" s="14">
        <v>45962</v>
      </c>
      <c r="G451" s="30" t="s">
        <v>857</v>
      </c>
      <c r="H451" s="7" t="s">
        <v>659</v>
      </c>
      <c r="I451" s="7" t="s">
        <v>696</v>
      </c>
      <c r="J451" s="10" t="s">
        <v>660</v>
      </c>
      <c r="K451" s="31">
        <v>6080</v>
      </c>
      <c r="L451" s="31"/>
      <c r="M451" s="31">
        <v>6080</v>
      </c>
      <c r="N451" s="31"/>
      <c r="O451" s="31">
        <v>6080</v>
      </c>
      <c r="P451" s="9" t="s">
        <v>26</v>
      </c>
      <c r="Q451" s="12" t="s">
        <v>20</v>
      </c>
      <c r="T451" s="8">
        <f t="shared" si="9"/>
        <v>6080</v>
      </c>
    </row>
    <row r="452" spans="2:20" x14ac:dyDescent="0.35">
      <c r="B452" s="15">
        <v>450</v>
      </c>
      <c r="C452" s="45">
        <v>45961</v>
      </c>
      <c r="D452" s="10">
        <v>1</v>
      </c>
      <c r="E452" s="29">
        <v>45968</v>
      </c>
      <c r="F452" s="14">
        <v>45962</v>
      </c>
      <c r="G452" s="30" t="s">
        <v>857</v>
      </c>
      <c r="H452" s="7" t="s">
        <v>120</v>
      </c>
      <c r="I452" s="7" t="s">
        <v>697</v>
      </c>
      <c r="J452" s="10" t="s">
        <v>122</v>
      </c>
      <c r="K452" s="31">
        <v>760</v>
      </c>
      <c r="L452" s="31"/>
      <c r="M452" s="31">
        <v>760</v>
      </c>
      <c r="N452" s="31"/>
      <c r="O452" s="31">
        <v>760</v>
      </c>
      <c r="P452" s="9" t="s">
        <v>26</v>
      </c>
      <c r="Q452" s="12" t="s">
        <v>27</v>
      </c>
      <c r="T452" s="8">
        <f t="shared" si="9"/>
        <v>760</v>
      </c>
    </row>
    <row r="453" spans="2:20" x14ac:dyDescent="0.35">
      <c r="B453" s="15">
        <v>451</v>
      </c>
      <c r="C453" s="45">
        <v>45958</v>
      </c>
      <c r="D453" s="10">
        <v>1471</v>
      </c>
      <c r="E453" s="29">
        <v>45968</v>
      </c>
      <c r="F453" s="14">
        <v>45962</v>
      </c>
      <c r="G453" s="30" t="s">
        <v>857</v>
      </c>
      <c r="H453" s="7" t="s">
        <v>53</v>
      </c>
      <c r="I453" s="7" t="s">
        <v>698</v>
      </c>
      <c r="J453" s="10" t="s">
        <v>55</v>
      </c>
      <c r="K453" s="31">
        <v>19740</v>
      </c>
      <c r="L453" s="31">
        <v>987</v>
      </c>
      <c r="M453" s="31">
        <v>20727</v>
      </c>
      <c r="N453" s="31"/>
      <c r="O453" s="31">
        <v>20727</v>
      </c>
      <c r="P453" s="9" t="s">
        <v>41</v>
      </c>
      <c r="Q453" s="12" t="s">
        <v>27</v>
      </c>
      <c r="T453" s="8">
        <f t="shared" si="9"/>
        <v>20727</v>
      </c>
    </row>
    <row r="454" spans="2:20" x14ac:dyDescent="0.35">
      <c r="B454" s="15">
        <v>452</v>
      </c>
      <c r="C454" s="45">
        <v>45961</v>
      </c>
      <c r="D454" s="10">
        <v>2</v>
      </c>
      <c r="E454" s="29">
        <v>45968</v>
      </c>
      <c r="F454" s="14">
        <v>45962</v>
      </c>
      <c r="G454" s="30" t="s">
        <v>857</v>
      </c>
      <c r="H454" s="7" t="s">
        <v>120</v>
      </c>
      <c r="I454" s="7" t="s">
        <v>699</v>
      </c>
      <c r="J454" s="10" t="s">
        <v>122</v>
      </c>
      <c r="K454" s="31">
        <v>1350</v>
      </c>
      <c r="L454" s="31"/>
      <c r="M454" s="31">
        <v>1350</v>
      </c>
      <c r="N454" s="31"/>
      <c r="O454" s="31">
        <v>1350</v>
      </c>
      <c r="P454" s="9" t="s">
        <v>26</v>
      </c>
      <c r="Q454" s="12" t="s">
        <v>27</v>
      </c>
      <c r="T454" s="8">
        <f t="shared" si="9"/>
        <v>1350</v>
      </c>
    </row>
    <row r="455" spans="2:20" ht="28.5" x14ac:dyDescent="0.35">
      <c r="B455" s="15">
        <v>453</v>
      </c>
      <c r="C455" s="45">
        <v>45819</v>
      </c>
      <c r="D455" s="10">
        <v>631</v>
      </c>
      <c r="E455" s="29">
        <v>45968</v>
      </c>
      <c r="F455" s="14">
        <v>45962</v>
      </c>
      <c r="G455" s="30" t="s">
        <v>857</v>
      </c>
      <c r="H455" s="7" t="s">
        <v>532</v>
      </c>
      <c r="I455" s="7" t="s">
        <v>700</v>
      </c>
      <c r="J455" s="10" t="s">
        <v>534</v>
      </c>
      <c r="K455" s="31">
        <v>349800</v>
      </c>
      <c r="L455" s="31">
        <v>62964</v>
      </c>
      <c r="M455" s="31">
        <v>412764</v>
      </c>
      <c r="N455" s="31">
        <v>3498</v>
      </c>
      <c r="O455" s="31">
        <v>117924</v>
      </c>
      <c r="P455" s="9" t="s">
        <v>26</v>
      </c>
      <c r="Q455" s="12" t="s">
        <v>27</v>
      </c>
      <c r="T455" s="8">
        <f t="shared" si="9"/>
        <v>121422</v>
      </c>
    </row>
    <row r="456" spans="2:20" x14ac:dyDescent="0.35">
      <c r="B456" s="15">
        <v>454</v>
      </c>
      <c r="C456" s="45">
        <v>45957</v>
      </c>
      <c r="D456" s="10">
        <v>2600</v>
      </c>
      <c r="E456" s="29">
        <v>45969</v>
      </c>
      <c r="F456" s="14">
        <v>45962</v>
      </c>
      <c r="G456" s="30" t="s">
        <v>857</v>
      </c>
      <c r="H456" s="7" t="s">
        <v>701</v>
      </c>
      <c r="I456" s="7" t="s">
        <v>702</v>
      </c>
      <c r="J456" s="10" t="s">
        <v>197</v>
      </c>
      <c r="K456" s="31">
        <v>29000</v>
      </c>
      <c r="L456" s="31"/>
      <c r="M456" s="31">
        <v>29000</v>
      </c>
      <c r="N456" s="31"/>
      <c r="O456" s="31">
        <v>29000</v>
      </c>
      <c r="P456" s="9" t="s">
        <v>26</v>
      </c>
      <c r="Q456" s="12" t="s">
        <v>241</v>
      </c>
      <c r="T456" s="8">
        <f t="shared" ref="T456:T519" si="10">N456+O456</f>
        <v>29000</v>
      </c>
    </row>
    <row r="457" spans="2:20" x14ac:dyDescent="0.35">
      <c r="B457" s="15">
        <v>455</v>
      </c>
      <c r="C457" s="45">
        <v>45727</v>
      </c>
      <c r="D457" s="10" t="s">
        <v>703</v>
      </c>
      <c r="E457" s="29">
        <v>45969</v>
      </c>
      <c r="F457" s="14">
        <v>45962</v>
      </c>
      <c r="G457" s="30" t="s">
        <v>857</v>
      </c>
      <c r="H457" s="7" t="s">
        <v>49</v>
      </c>
      <c r="I457" s="7" t="s">
        <v>704</v>
      </c>
      <c r="J457" s="10" t="s">
        <v>51</v>
      </c>
      <c r="K457" s="31">
        <v>7500</v>
      </c>
      <c r="L457" s="31">
        <v>1350</v>
      </c>
      <c r="M457" s="31">
        <v>8850</v>
      </c>
      <c r="N457" s="31">
        <v>75</v>
      </c>
      <c r="O457" s="31">
        <v>8775</v>
      </c>
      <c r="P457" s="9" t="s">
        <v>41</v>
      </c>
      <c r="Q457" s="12" t="s">
        <v>31</v>
      </c>
      <c r="T457" s="8">
        <f t="shared" si="10"/>
        <v>8850</v>
      </c>
    </row>
    <row r="458" spans="2:20" ht="28.5" x14ac:dyDescent="0.35">
      <c r="B458" s="15">
        <v>456</v>
      </c>
      <c r="C458" s="45">
        <v>45819</v>
      </c>
      <c r="D458" s="10">
        <v>1</v>
      </c>
      <c r="E458" s="29">
        <v>45969</v>
      </c>
      <c r="F458" s="14">
        <v>45962</v>
      </c>
      <c r="G458" s="30" t="s">
        <v>857</v>
      </c>
      <c r="H458" s="7" t="s">
        <v>659</v>
      </c>
      <c r="I458" s="7" t="s">
        <v>705</v>
      </c>
      <c r="J458" s="10" t="s">
        <v>706</v>
      </c>
      <c r="K458" s="31">
        <v>2010</v>
      </c>
      <c r="L458" s="31"/>
      <c r="M458" s="31">
        <v>2010</v>
      </c>
      <c r="N458" s="31"/>
      <c r="O458" s="31">
        <v>2010</v>
      </c>
      <c r="P458" s="9" t="s">
        <v>26</v>
      </c>
      <c r="Q458" s="12" t="s">
        <v>20</v>
      </c>
      <c r="T458" s="8">
        <f t="shared" si="10"/>
        <v>2010</v>
      </c>
    </row>
    <row r="459" spans="2:20" ht="28.5" x14ac:dyDescent="0.35">
      <c r="B459" s="15">
        <v>457</v>
      </c>
      <c r="C459" s="45">
        <v>45819</v>
      </c>
      <c r="D459" s="10">
        <v>2</v>
      </c>
      <c r="E459" s="29">
        <v>45969</v>
      </c>
      <c r="F459" s="14">
        <v>45962</v>
      </c>
      <c r="G459" s="30" t="s">
        <v>857</v>
      </c>
      <c r="H459" s="7" t="s">
        <v>659</v>
      </c>
      <c r="I459" s="7" t="s">
        <v>707</v>
      </c>
      <c r="J459" s="10" t="s">
        <v>706</v>
      </c>
      <c r="K459" s="31">
        <v>15300</v>
      </c>
      <c r="L459" s="31"/>
      <c r="M459" s="31">
        <v>15300</v>
      </c>
      <c r="N459" s="31"/>
      <c r="O459" s="31">
        <v>15300</v>
      </c>
      <c r="P459" s="9" t="s">
        <v>26</v>
      </c>
      <c r="Q459" s="12" t="s">
        <v>20</v>
      </c>
      <c r="T459" s="8">
        <f t="shared" si="10"/>
        <v>15300</v>
      </c>
    </row>
    <row r="460" spans="2:20" ht="28.5" x14ac:dyDescent="0.35">
      <c r="B460" s="15">
        <v>458</v>
      </c>
      <c r="C460" s="45">
        <v>45758</v>
      </c>
      <c r="D460" s="10" t="s">
        <v>548</v>
      </c>
      <c r="E460" s="29">
        <v>45969</v>
      </c>
      <c r="F460" s="14">
        <v>45962</v>
      </c>
      <c r="G460" s="30" t="s">
        <v>857</v>
      </c>
      <c r="H460" s="7" t="s">
        <v>453</v>
      </c>
      <c r="I460" s="7" t="s">
        <v>708</v>
      </c>
      <c r="J460" s="10" t="s">
        <v>709</v>
      </c>
      <c r="K460" s="31">
        <v>147900</v>
      </c>
      <c r="L460" s="31">
        <v>26622</v>
      </c>
      <c r="M460" s="31">
        <v>174522</v>
      </c>
      <c r="N460" s="31">
        <v>1479</v>
      </c>
      <c r="O460" s="31">
        <v>87261</v>
      </c>
      <c r="P460" s="9" t="s">
        <v>19</v>
      </c>
      <c r="Q460" s="12" t="s">
        <v>27</v>
      </c>
      <c r="T460" s="8">
        <f t="shared" si="10"/>
        <v>88740</v>
      </c>
    </row>
    <row r="461" spans="2:20" x14ac:dyDescent="0.35">
      <c r="B461" s="15">
        <v>459</v>
      </c>
      <c r="C461" s="45">
        <v>45699</v>
      </c>
      <c r="D461" s="10">
        <v>1561</v>
      </c>
      <c r="E461" s="29">
        <v>45971</v>
      </c>
      <c r="F461" s="14">
        <v>45962</v>
      </c>
      <c r="G461" s="30" t="s">
        <v>857</v>
      </c>
      <c r="H461" s="7" t="s">
        <v>174</v>
      </c>
      <c r="I461" s="7" t="s">
        <v>710</v>
      </c>
      <c r="J461" s="10" t="s">
        <v>176</v>
      </c>
      <c r="K461" s="31">
        <v>41550</v>
      </c>
      <c r="L461" s="31"/>
      <c r="M461" s="31">
        <v>41550</v>
      </c>
      <c r="N461" s="31"/>
      <c r="O461" s="31">
        <v>41550</v>
      </c>
      <c r="P461" s="9" t="s">
        <v>26</v>
      </c>
      <c r="Q461" s="20" t="s">
        <v>155</v>
      </c>
      <c r="T461" s="8">
        <f t="shared" si="10"/>
        <v>41550</v>
      </c>
    </row>
    <row r="462" spans="2:20" ht="28.5" x14ac:dyDescent="0.35">
      <c r="B462" s="15">
        <v>460</v>
      </c>
      <c r="C462" s="45">
        <v>45758</v>
      </c>
      <c r="D462" s="10" t="s">
        <v>711</v>
      </c>
      <c r="E462" s="29">
        <v>45971</v>
      </c>
      <c r="F462" s="14">
        <v>45931</v>
      </c>
      <c r="G462" s="30" t="s">
        <v>857</v>
      </c>
      <c r="H462" s="7" t="s">
        <v>69</v>
      </c>
      <c r="I462" s="7" t="s">
        <v>712</v>
      </c>
      <c r="J462" s="10" t="s">
        <v>71</v>
      </c>
      <c r="K462" s="31">
        <v>1645879</v>
      </c>
      <c r="L462" s="31">
        <v>296258</v>
      </c>
      <c r="M462" s="31">
        <v>1942137</v>
      </c>
      <c r="N462" s="31">
        <v>32918</v>
      </c>
      <c r="O462" s="31">
        <v>1909220</v>
      </c>
      <c r="P462" s="9" t="s">
        <v>41</v>
      </c>
      <c r="Q462" s="12" t="s">
        <v>31</v>
      </c>
      <c r="T462" s="8">
        <f t="shared" si="10"/>
        <v>1942138</v>
      </c>
    </row>
    <row r="463" spans="2:20" x14ac:dyDescent="0.35">
      <c r="B463" s="15">
        <v>461</v>
      </c>
      <c r="C463" s="45">
        <v>45758</v>
      </c>
      <c r="D463" s="10" t="s">
        <v>713</v>
      </c>
      <c r="E463" s="29">
        <v>45969</v>
      </c>
      <c r="F463" s="14">
        <v>45931</v>
      </c>
      <c r="G463" s="30" t="s">
        <v>857</v>
      </c>
      <c r="H463" s="7" t="s">
        <v>69</v>
      </c>
      <c r="I463" s="7" t="s">
        <v>714</v>
      </c>
      <c r="J463" s="10" t="s">
        <v>71</v>
      </c>
      <c r="K463" s="31">
        <v>45019</v>
      </c>
      <c r="L463" s="31">
        <v>8103</v>
      </c>
      <c r="M463" s="31">
        <v>53122</v>
      </c>
      <c r="N463" s="31">
        <v>900</v>
      </c>
      <c r="O463" s="31">
        <v>52222</v>
      </c>
      <c r="P463" s="9" t="s">
        <v>41</v>
      </c>
      <c r="Q463" s="12" t="s">
        <v>31</v>
      </c>
      <c r="T463" s="8">
        <f t="shared" si="10"/>
        <v>53122</v>
      </c>
    </row>
    <row r="464" spans="2:20" x14ac:dyDescent="0.35">
      <c r="B464" s="15">
        <v>462</v>
      </c>
      <c r="C464" s="45">
        <v>45758</v>
      </c>
      <c r="D464" s="10" t="s">
        <v>715</v>
      </c>
      <c r="E464" s="29">
        <v>45969</v>
      </c>
      <c r="F464" s="14">
        <v>45931</v>
      </c>
      <c r="G464" s="30" t="s">
        <v>857</v>
      </c>
      <c r="H464" s="7" t="s">
        <v>69</v>
      </c>
      <c r="I464" s="7" t="s">
        <v>716</v>
      </c>
      <c r="J464" s="10" t="s">
        <v>71</v>
      </c>
      <c r="K464" s="31">
        <v>161643</v>
      </c>
      <c r="L464" s="31">
        <v>29096</v>
      </c>
      <c r="M464" s="31">
        <v>190739</v>
      </c>
      <c r="N464" s="31">
        <v>3233</v>
      </c>
      <c r="O464" s="31">
        <v>187506</v>
      </c>
      <c r="P464" s="9" t="s">
        <v>41</v>
      </c>
      <c r="Q464" s="12" t="s">
        <v>31</v>
      </c>
      <c r="T464" s="8">
        <f t="shared" si="10"/>
        <v>190739</v>
      </c>
    </row>
    <row r="465" spans="2:20" x14ac:dyDescent="0.35">
      <c r="B465" s="15">
        <v>463</v>
      </c>
      <c r="C465" s="45">
        <v>45967</v>
      </c>
      <c r="D465" s="10" t="s">
        <v>717</v>
      </c>
      <c r="E465" s="29">
        <v>45971</v>
      </c>
      <c r="F465" s="14">
        <v>45962</v>
      </c>
      <c r="G465" s="30" t="s">
        <v>857</v>
      </c>
      <c r="H465" s="7" t="s">
        <v>116</v>
      </c>
      <c r="I465" s="7" t="s">
        <v>718</v>
      </c>
      <c r="J465" s="10" t="s">
        <v>719</v>
      </c>
      <c r="K465" s="31">
        <v>5000</v>
      </c>
      <c r="L465" s="31">
        <v>900</v>
      </c>
      <c r="M465" s="31">
        <v>5900</v>
      </c>
      <c r="N465" s="31">
        <v>50</v>
      </c>
      <c r="O465" s="31">
        <v>5850</v>
      </c>
      <c r="P465" s="9" t="s">
        <v>26</v>
      </c>
      <c r="Q465" s="12" t="s">
        <v>47</v>
      </c>
      <c r="T465" s="8">
        <f t="shared" si="10"/>
        <v>5900</v>
      </c>
    </row>
    <row r="466" spans="2:20" x14ac:dyDescent="0.35">
      <c r="B466" s="15">
        <v>464</v>
      </c>
      <c r="C466" s="45">
        <v>45944</v>
      </c>
      <c r="D466" s="10" t="s">
        <v>720</v>
      </c>
      <c r="E466" s="29">
        <v>45971</v>
      </c>
      <c r="F466" s="14">
        <v>45962</v>
      </c>
      <c r="G466" s="30" t="s">
        <v>857</v>
      </c>
      <c r="H466" s="7" t="s">
        <v>572</v>
      </c>
      <c r="I466" s="7" t="s">
        <v>721</v>
      </c>
      <c r="J466" s="10" t="s">
        <v>281</v>
      </c>
      <c r="K466" s="31">
        <v>48305</v>
      </c>
      <c r="L466" s="31">
        <v>8695</v>
      </c>
      <c r="M466" s="31">
        <v>57000</v>
      </c>
      <c r="N466" s="31">
        <v>549</v>
      </c>
      <c r="O466" s="31">
        <v>27455</v>
      </c>
      <c r="P466" s="9" t="s">
        <v>19</v>
      </c>
      <c r="Q466" s="12" t="s">
        <v>20</v>
      </c>
      <c r="T466" s="8">
        <f t="shared" si="10"/>
        <v>28004</v>
      </c>
    </row>
    <row r="467" spans="2:20" x14ac:dyDescent="0.35">
      <c r="B467" s="15">
        <v>465</v>
      </c>
      <c r="C467" s="45">
        <v>45964</v>
      </c>
      <c r="D467" s="10" t="s">
        <v>722</v>
      </c>
      <c r="E467" s="29">
        <v>45971</v>
      </c>
      <c r="F467" s="14">
        <v>45962</v>
      </c>
      <c r="G467" s="30" t="s">
        <v>857</v>
      </c>
      <c r="H467" s="7" t="s">
        <v>572</v>
      </c>
      <c r="I467" s="7" t="s">
        <v>723</v>
      </c>
      <c r="J467" s="10" t="s">
        <v>281</v>
      </c>
      <c r="K467" s="31">
        <v>54661</v>
      </c>
      <c r="L467" s="31">
        <v>9839</v>
      </c>
      <c r="M467" s="31">
        <v>64500</v>
      </c>
      <c r="N467" s="31">
        <v>549</v>
      </c>
      <c r="O467" s="31">
        <v>27455</v>
      </c>
      <c r="P467" s="9" t="s">
        <v>19</v>
      </c>
      <c r="Q467" s="12" t="s">
        <v>20</v>
      </c>
      <c r="T467" s="8">
        <f t="shared" si="10"/>
        <v>28004</v>
      </c>
    </row>
    <row r="468" spans="2:20" x14ac:dyDescent="0.35">
      <c r="B468" s="15">
        <v>466</v>
      </c>
      <c r="C468" s="45">
        <v>45964</v>
      </c>
      <c r="D468" s="10" t="s">
        <v>724</v>
      </c>
      <c r="E468" s="29">
        <v>45973</v>
      </c>
      <c r="F468" s="14">
        <v>45962</v>
      </c>
      <c r="G468" s="30" t="s">
        <v>857</v>
      </c>
      <c r="H468" s="7" t="s">
        <v>725</v>
      </c>
      <c r="I468" s="7" t="s">
        <v>726</v>
      </c>
      <c r="J468" s="10" t="s">
        <v>706</v>
      </c>
      <c r="K468" s="31">
        <v>165</v>
      </c>
      <c r="L468" s="31">
        <v>30</v>
      </c>
      <c r="M468" s="31">
        <v>195</v>
      </c>
      <c r="N468" s="31">
        <v>0</v>
      </c>
      <c r="O468" s="31">
        <v>195</v>
      </c>
      <c r="P468" s="9" t="s">
        <v>26</v>
      </c>
      <c r="Q468" s="12" t="s">
        <v>20</v>
      </c>
      <c r="T468" s="8">
        <f t="shared" si="10"/>
        <v>195</v>
      </c>
    </row>
    <row r="469" spans="2:20" x14ac:dyDescent="0.35">
      <c r="B469" s="15">
        <v>467</v>
      </c>
      <c r="C469" s="45">
        <v>45964</v>
      </c>
      <c r="D469" s="10" t="s">
        <v>727</v>
      </c>
      <c r="E469" s="29">
        <v>45973</v>
      </c>
      <c r="F469" s="14">
        <v>45962</v>
      </c>
      <c r="G469" s="30" t="s">
        <v>857</v>
      </c>
      <c r="H469" s="7" t="s">
        <v>725</v>
      </c>
      <c r="I469" s="7" t="s">
        <v>728</v>
      </c>
      <c r="J469" s="10" t="s">
        <v>706</v>
      </c>
      <c r="K469" s="31">
        <v>2150</v>
      </c>
      <c r="L469" s="31">
        <v>387</v>
      </c>
      <c r="M469" s="31">
        <v>2537</v>
      </c>
      <c r="N469" s="31">
        <v>0</v>
      </c>
      <c r="O469" s="31">
        <v>2537</v>
      </c>
      <c r="P469" s="9" t="s">
        <v>26</v>
      </c>
      <c r="Q469" s="12" t="s">
        <v>20</v>
      </c>
      <c r="T469" s="8">
        <f t="shared" si="10"/>
        <v>2537</v>
      </c>
    </row>
    <row r="470" spans="2:20" x14ac:dyDescent="0.35">
      <c r="B470" s="15">
        <v>468</v>
      </c>
      <c r="C470" s="45">
        <v>45966</v>
      </c>
      <c r="D470" s="10">
        <v>1669</v>
      </c>
      <c r="E470" s="29">
        <v>45973</v>
      </c>
      <c r="F470" s="14">
        <v>45962</v>
      </c>
      <c r="G470" s="30" t="s">
        <v>857</v>
      </c>
      <c r="H470" s="7" t="s">
        <v>174</v>
      </c>
      <c r="I470" s="7" t="s">
        <v>729</v>
      </c>
      <c r="J470" s="10" t="s">
        <v>176</v>
      </c>
      <c r="K470" s="31">
        <v>12000</v>
      </c>
      <c r="L470" s="31"/>
      <c r="M470" s="31">
        <v>12000</v>
      </c>
      <c r="N470" s="31">
        <v>0</v>
      </c>
      <c r="O470" s="31">
        <v>12000</v>
      </c>
      <c r="P470" s="9" t="s">
        <v>26</v>
      </c>
      <c r="Q470" s="20" t="s">
        <v>155</v>
      </c>
      <c r="T470" s="8">
        <f t="shared" si="10"/>
        <v>12000</v>
      </c>
    </row>
    <row r="471" spans="2:20" ht="28.5" x14ac:dyDescent="0.35">
      <c r="B471" s="15">
        <v>469</v>
      </c>
      <c r="C471" s="45">
        <v>45968</v>
      </c>
      <c r="D471" s="10">
        <v>1</v>
      </c>
      <c r="E471" s="29">
        <v>45973</v>
      </c>
      <c r="F471" s="14">
        <v>45962</v>
      </c>
      <c r="G471" s="30" t="s">
        <v>857</v>
      </c>
      <c r="H471" s="7" t="s">
        <v>730</v>
      </c>
      <c r="I471" s="7" t="s">
        <v>731</v>
      </c>
      <c r="J471" s="10" t="s">
        <v>732</v>
      </c>
      <c r="K471" s="31">
        <v>14000</v>
      </c>
      <c r="L471" s="31"/>
      <c r="M471" s="31">
        <v>14000</v>
      </c>
      <c r="N471" s="31">
        <v>0</v>
      </c>
      <c r="O471" s="31">
        <v>14000</v>
      </c>
      <c r="P471" s="9" t="s">
        <v>26</v>
      </c>
      <c r="Q471" s="12" t="s">
        <v>20</v>
      </c>
      <c r="T471" s="8">
        <f t="shared" si="10"/>
        <v>14000</v>
      </c>
    </row>
    <row r="472" spans="2:20" x14ac:dyDescent="0.35">
      <c r="B472" s="15">
        <v>470</v>
      </c>
      <c r="C472" s="45">
        <v>45966</v>
      </c>
      <c r="D472" s="10">
        <v>705</v>
      </c>
      <c r="E472" s="29">
        <v>45973</v>
      </c>
      <c r="F472" s="14">
        <v>45962</v>
      </c>
      <c r="G472" s="30" t="s">
        <v>857</v>
      </c>
      <c r="H472" s="7" t="s">
        <v>733</v>
      </c>
      <c r="I472" s="7" t="s">
        <v>734</v>
      </c>
      <c r="J472" s="10" t="s">
        <v>706</v>
      </c>
      <c r="K472" s="31">
        <v>3500</v>
      </c>
      <c r="L472" s="31">
        <v>630</v>
      </c>
      <c r="M472" s="31">
        <v>4130</v>
      </c>
      <c r="N472" s="31">
        <v>0</v>
      </c>
      <c r="O472" s="31">
        <v>4130</v>
      </c>
      <c r="P472" s="9" t="s">
        <v>26</v>
      </c>
      <c r="Q472" s="12" t="s">
        <v>20</v>
      </c>
      <c r="T472" s="8">
        <f t="shared" si="10"/>
        <v>4130</v>
      </c>
    </row>
    <row r="473" spans="2:20" x14ac:dyDescent="0.35">
      <c r="B473" s="15">
        <v>471</v>
      </c>
      <c r="C473" s="45">
        <v>45968</v>
      </c>
      <c r="D473" s="10">
        <v>1</v>
      </c>
      <c r="E473" s="29">
        <v>45973</v>
      </c>
      <c r="F473" s="14">
        <v>45962</v>
      </c>
      <c r="G473" s="30" t="s">
        <v>857</v>
      </c>
      <c r="H473" s="7" t="s">
        <v>120</v>
      </c>
      <c r="I473" s="7" t="s">
        <v>735</v>
      </c>
      <c r="J473" s="10" t="s">
        <v>92</v>
      </c>
      <c r="K473" s="31">
        <v>690</v>
      </c>
      <c r="L473" s="31"/>
      <c r="M473" s="31">
        <v>690</v>
      </c>
      <c r="N473" s="31">
        <v>0</v>
      </c>
      <c r="O473" s="31">
        <v>690</v>
      </c>
      <c r="P473" s="9" t="s">
        <v>26</v>
      </c>
      <c r="Q473" s="12" t="s">
        <v>93</v>
      </c>
      <c r="T473" s="8">
        <f t="shared" si="10"/>
        <v>690</v>
      </c>
    </row>
    <row r="474" spans="2:20" x14ac:dyDescent="0.35">
      <c r="B474" s="15">
        <v>472</v>
      </c>
      <c r="C474" s="45">
        <v>45964</v>
      </c>
      <c r="D474" s="10">
        <v>1012</v>
      </c>
      <c r="E474" s="29">
        <v>45980</v>
      </c>
      <c r="F474" s="14">
        <v>45962</v>
      </c>
      <c r="G474" s="30" t="s">
        <v>857</v>
      </c>
      <c r="H474" s="7" t="s">
        <v>523</v>
      </c>
      <c r="I474" s="7" t="s">
        <v>736</v>
      </c>
      <c r="J474" s="10" t="s">
        <v>92</v>
      </c>
      <c r="K474" s="31">
        <v>10715</v>
      </c>
      <c r="L474" s="31">
        <v>1929</v>
      </c>
      <c r="M474" s="31">
        <v>12644</v>
      </c>
      <c r="N474" s="31">
        <v>0</v>
      </c>
      <c r="O474" s="31">
        <v>12644</v>
      </c>
      <c r="P474" s="9" t="s">
        <v>26</v>
      </c>
      <c r="Q474" s="12" t="s">
        <v>93</v>
      </c>
      <c r="T474" s="8">
        <f t="shared" si="10"/>
        <v>12644</v>
      </c>
    </row>
    <row r="475" spans="2:20" x14ac:dyDescent="0.35">
      <c r="B475" s="15">
        <v>473</v>
      </c>
      <c r="C475" s="45">
        <v>45964</v>
      </c>
      <c r="D475" s="10" t="s">
        <v>737</v>
      </c>
      <c r="E475" s="29">
        <v>45973</v>
      </c>
      <c r="F475" s="14">
        <v>45962</v>
      </c>
      <c r="G475" s="30" t="s">
        <v>857</v>
      </c>
      <c r="H475" s="7" t="s">
        <v>725</v>
      </c>
      <c r="I475" s="7" t="s">
        <v>738</v>
      </c>
      <c r="J475" s="10" t="s">
        <v>706</v>
      </c>
      <c r="K475" s="31">
        <v>2460</v>
      </c>
      <c r="L475" s="31">
        <v>483</v>
      </c>
      <c r="M475" s="31">
        <v>3443</v>
      </c>
      <c r="N475" s="31">
        <v>0</v>
      </c>
      <c r="O475" s="31">
        <v>3443</v>
      </c>
      <c r="P475" s="9" t="s">
        <v>26</v>
      </c>
      <c r="Q475" s="12" t="s">
        <v>20</v>
      </c>
      <c r="T475" s="8">
        <f t="shared" si="10"/>
        <v>3443</v>
      </c>
    </row>
    <row r="476" spans="2:20" ht="28.5" x14ac:dyDescent="0.35">
      <c r="B476" s="15">
        <v>474</v>
      </c>
      <c r="C476" s="45">
        <v>45968</v>
      </c>
      <c r="D476" s="10" t="s">
        <v>22</v>
      </c>
      <c r="E476" s="29">
        <v>45973</v>
      </c>
      <c r="F476" s="14">
        <v>45962</v>
      </c>
      <c r="G476" s="30" t="s">
        <v>857</v>
      </c>
      <c r="H476" s="7" t="s">
        <v>739</v>
      </c>
      <c r="I476" s="7" t="s">
        <v>740</v>
      </c>
      <c r="J476" s="10" t="s">
        <v>281</v>
      </c>
      <c r="K476" s="31">
        <v>37712</v>
      </c>
      <c r="L476" s="31">
        <v>6788</v>
      </c>
      <c r="M476" s="31">
        <v>44500</v>
      </c>
      <c r="N476" s="31">
        <v>0</v>
      </c>
      <c r="O476" s="31">
        <v>18556</v>
      </c>
      <c r="P476" s="9" t="s">
        <v>19</v>
      </c>
      <c r="Q476" s="12" t="s">
        <v>20</v>
      </c>
      <c r="T476" s="8">
        <f t="shared" si="10"/>
        <v>18556</v>
      </c>
    </row>
    <row r="477" spans="2:20" x14ac:dyDescent="0.35">
      <c r="B477" s="15">
        <v>475</v>
      </c>
      <c r="C477" s="45">
        <v>45971</v>
      </c>
      <c r="D477" s="10">
        <v>3425</v>
      </c>
      <c r="E477" s="29">
        <v>45973</v>
      </c>
      <c r="F477" s="14">
        <v>45931</v>
      </c>
      <c r="G477" s="30" t="s">
        <v>857</v>
      </c>
      <c r="H477" s="7" t="s">
        <v>83</v>
      </c>
      <c r="I477" s="7" t="s">
        <v>741</v>
      </c>
      <c r="J477" s="10" t="s">
        <v>85</v>
      </c>
      <c r="K477" s="31">
        <v>357352</v>
      </c>
      <c r="L477" s="31">
        <v>64323</v>
      </c>
      <c r="M477" s="31">
        <v>421675</v>
      </c>
      <c r="N477" s="31">
        <v>7147</v>
      </c>
      <c r="O477" s="31">
        <v>421675</v>
      </c>
      <c r="P477" s="9" t="s">
        <v>41</v>
      </c>
      <c r="Q477" s="12" t="s">
        <v>27</v>
      </c>
      <c r="T477" s="8">
        <f t="shared" si="10"/>
        <v>428822</v>
      </c>
    </row>
    <row r="478" spans="2:20" ht="28.5" x14ac:dyDescent="0.35">
      <c r="B478" s="15">
        <v>476</v>
      </c>
      <c r="C478" s="45">
        <v>45971</v>
      </c>
      <c r="D478" s="10">
        <v>1</v>
      </c>
      <c r="E478" s="29">
        <v>45973</v>
      </c>
      <c r="F478" s="14">
        <v>45962</v>
      </c>
      <c r="G478" s="30" t="s">
        <v>857</v>
      </c>
      <c r="H478" s="7" t="s">
        <v>659</v>
      </c>
      <c r="I478" s="7" t="s">
        <v>742</v>
      </c>
      <c r="J478" s="10" t="s">
        <v>122</v>
      </c>
      <c r="K478" s="31">
        <v>15390</v>
      </c>
      <c r="L478" s="31"/>
      <c r="M478" s="31">
        <v>15390</v>
      </c>
      <c r="N478" s="31">
        <v>0</v>
      </c>
      <c r="O478" s="31">
        <v>15390</v>
      </c>
      <c r="P478" s="9" t="s">
        <v>26</v>
      </c>
      <c r="Q478" s="12" t="s">
        <v>27</v>
      </c>
      <c r="T478" s="8">
        <f t="shared" si="10"/>
        <v>15390</v>
      </c>
    </row>
    <row r="479" spans="2:20" ht="28.5" x14ac:dyDescent="0.35">
      <c r="B479" s="15">
        <v>477</v>
      </c>
      <c r="C479" s="45">
        <v>45972</v>
      </c>
      <c r="D479" s="10" t="s">
        <v>743</v>
      </c>
      <c r="E479" s="29">
        <v>45973</v>
      </c>
      <c r="F479" s="14">
        <v>45962</v>
      </c>
      <c r="G479" s="30" t="s">
        <v>857</v>
      </c>
      <c r="H479" s="7" t="s">
        <v>411</v>
      </c>
      <c r="I479" s="7" t="s">
        <v>744</v>
      </c>
      <c r="J479" s="10" t="s">
        <v>161</v>
      </c>
      <c r="K479" s="31">
        <v>23240</v>
      </c>
      <c r="L479" s="31">
        <v>4183</v>
      </c>
      <c r="M479" s="31">
        <v>27423</v>
      </c>
      <c r="N479" s="31">
        <v>0</v>
      </c>
      <c r="O479" s="31">
        <v>27423</v>
      </c>
      <c r="P479" s="9" t="s">
        <v>26</v>
      </c>
      <c r="Q479" s="12" t="s">
        <v>241</v>
      </c>
      <c r="T479" s="8">
        <f t="shared" si="10"/>
        <v>27423</v>
      </c>
    </row>
    <row r="480" spans="2:20" x14ac:dyDescent="0.35">
      <c r="B480" s="15">
        <v>478</v>
      </c>
      <c r="C480" s="45">
        <v>45962</v>
      </c>
      <c r="D480" s="10" t="s">
        <v>745</v>
      </c>
      <c r="E480" s="29">
        <v>45980</v>
      </c>
      <c r="F480" s="14">
        <v>45931</v>
      </c>
      <c r="G480" s="30" t="s">
        <v>857</v>
      </c>
      <c r="H480" s="7" t="s">
        <v>352</v>
      </c>
      <c r="I480" s="7" t="s">
        <v>353</v>
      </c>
      <c r="J480" s="10" t="s">
        <v>40</v>
      </c>
      <c r="K480" s="31">
        <v>8980</v>
      </c>
      <c r="L480" s="31">
        <v>1616</v>
      </c>
      <c r="M480" s="31">
        <v>10596</v>
      </c>
      <c r="N480" s="31">
        <v>180</v>
      </c>
      <c r="O480" s="31">
        <v>10417</v>
      </c>
      <c r="P480" s="9" t="s">
        <v>41</v>
      </c>
      <c r="Q480" s="12" t="s">
        <v>27</v>
      </c>
      <c r="T480" s="8">
        <f t="shared" si="10"/>
        <v>10597</v>
      </c>
    </row>
    <row r="481" spans="2:20" x14ac:dyDescent="0.35">
      <c r="B481" s="15">
        <v>479</v>
      </c>
      <c r="C481" s="45">
        <v>45968</v>
      </c>
      <c r="D481" s="10">
        <v>38</v>
      </c>
      <c r="E481" s="29">
        <v>45981</v>
      </c>
      <c r="F481" s="14">
        <v>45901</v>
      </c>
      <c r="G481" s="11" t="s">
        <v>860</v>
      </c>
      <c r="H481" s="7" t="s">
        <v>152</v>
      </c>
      <c r="I481" s="7" t="s">
        <v>746</v>
      </c>
      <c r="J481" s="18" t="s">
        <v>154</v>
      </c>
      <c r="K481" s="31">
        <v>466777</v>
      </c>
      <c r="L481" s="31">
        <v>84020</v>
      </c>
      <c r="M481" s="31">
        <v>550797</v>
      </c>
      <c r="N481" s="31">
        <v>4668</v>
      </c>
      <c r="O481" s="31">
        <v>546129</v>
      </c>
      <c r="P481" s="9" t="s">
        <v>41</v>
      </c>
      <c r="Q481" s="20" t="s">
        <v>155</v>
      </c>
      <c r="T481" s="8">
        <f t="shared" si="10"/>
        <v>550797</v>
      </c>
    </row>
    <row r="482" spans="2:20" x14ac:dyDescent="0.35">
      <c r="B482" s="15">
        <v>480</v>
      </c>
      <c r="C482" s="45">
        <v>45969</v>
      </c>
      <c r="D482" s="10" t="s">
        <v>22</v>
      </c>
      <c r="E482" s="29">
        <v>45976</v>
      </c>
      <c r="F482" s="14">
        <v>45962</v>
      </c>
      <c r="G482" s="30" t="s">
        <v>857</v>
      </c>
      <c r="H482" s="7" t="s">
        <v>747</v>
      </c>
      <c r="I482" s="7" t="s">
        <v>748</v>
      </c>
      <c r="J482" s="10" t="s">
        <v>749</v>
      </c>
      <c r="K482" s="31">
        <v>37000</v>
      </c>
      <c r="L482" s="31">
        <v>6660</v>
      </c>
      <c r="M482" s="31">
        <v>43660</v>
      </c>
      <c r="N482" s="31">
        <v>0</v>
      </c>
      <c r="O482" s="31">
        <v>37000</v>
      </c>
      <c r="P482" s="9" t="s">
        <v>19</v>
      </c>
      <c r="Q482" s="12" t="s">
        <v>241</v>
      </c>
      <c r="T482" s="8">
        <f t="shared" si="10"/>
        <v>37000</v>
      </c>
    </row>
    <row r="483" spans="2:20" x14ac:dyDescent="0.35">
      <c r="B483" s="15">
        <v>481</v>
      </c>
      <c r="C483" s="45">
        <v>45968</v>
      </c>
      <c r="D483" s="10">
        <v>39</v>
      </c>
      <c r="E483" s="29">
        <v>45976</v>
      </c>
      <c r="F483" s="14">
        <v>45931</v>
      </c>
      <c r="G483" s="30" t="s">
        <v>857</v>
      </c>
      <c r="H483" s="7" t="s">
        <v>152</v>
      </c>
      <c r="I483" s="7" t="s">
        <v>750</v>
      </c>
      <c r="J483" s="18" t="s">
        <v>154</v>
      </c>
      <c r="K483" s="31">
        <v>464738</v>
      </c>
      <c r="L483" s="31">
        <v>83653</v>
      </c>
      <c r="M483" s="31">
        <v>548391</v>
      </c>
      <c r="N483" s="31">
        <v>4647</v>
      </c>
      <c r="O483" s="31">
        <v>543743</v>
      </c>
      <c r="P483" s="9" t="s">
        <v>41</v>
      </c>
      <c r="Q483" s="20" t="s">
        <v>155</v>
      </c>
      <c r="T483" s="8">
        <f t="shared" si="10"/>
        <v>548390</v>
      </c>
    </row>
    <row r="484" spans="2:20" x14ac:dyDescent="0.35">
      <c r="B484" s="15">
        <v>482</v>
      </c>
      <c r="C484" s="45">
        <v>45967</v>
      </c>
      <c r="D484" s="10" t="s">
        <v>751</v>
      </c>
      <c r="E484" s="29">
        <v>45981</v>
      </c>
      <c r="F484" s="14">
        <v>45931</v>
      </c>
      <c r="G484" s="30" t="s">
        <v>857</v>
      </c>
      <c r="H484" s="7" t="s">
        <v>221</v>
      </c>
      <c r="I484" s="7" t="s">
        <v>222</v>
      </c>
      <c r="J484" s="10" t="s">
        <v>223</v>
      </c>
      <c r="K484" s="31">
        <v>81523</v>
      </c>
      <c r="L484" s="31">
        <v>14674.14</v>
      </c>
      <c r="M484" s="31">
        <v>96197.14</v>
      </c>
      <c r="N484" s="31">
        <v>1630.46</v>
      </c>
      <c r="O484" s="31">
        <v>94566.68</v>
      </c>
      <c r="P484" s="9" t="s">
        <v>41</v>
      </c>
      <c r="Q484" s="12" t="s">
        <v>47</v>
      </c>
      <c r="T484" s="8">
        <f t="shared" si="10"/>
        <v>96197.14</v>
      </c>
    </row>
    <row r="485" spans="2:20" x14ac:dyDescent="0.35">
      <c r="B485" s="15">
        <v>483</v>
      </c>
      <c r="C485" s="45">
        <v>45967</v>
      </c>
      <c r="D485" s="10" t="s">
        <v>751</v>
      </c>
      <c r="E485" s="29">
        <v>45981</v>
      </c>
      <c r="F485" s="14">
        <v>45931</v>
      </c>
      <c r="G485" s="30" t="s">
        <v>857</v>
      </c>
      <c r="H485" s="7" t="s">
        <v>221</v>
      </c>
      <c r="I485" s="7" t="s">
        <v>224</v>
      </c>
      <c r="J485" s="10" t="s">
        <v>223</v>
      </c>
      <c r="K485" s="31">
        <v>59677</v>
      </c>
      <c r="L485" s="31">
        <v>10741.859999999999</v>
      </c>
      <c r="M485" s="31">
        <v>70418.86</v>
      </c>
      <c r="N485" s="31">
        <v>1193.54</v>
      </c>
      <c r="O485" s="31">
        <v>69225.320000000007</v>
      </c>
      <c r="P485" s="9" t="s">
        <v>41</v>
      </c>
      <c r="Q485" s="12" t="s">
        <v>47</v>
      </c>
      <c r="T485" s="8">
        <f t="shared" si="10"/>
        <v>70418.86</v>
      </c>
    </row>
    <row r="486" spans="2:20" x14ac:dyDescent="0.35">
      <c r="B486" s="15">
        <v>484</v>
      </c>
      <c r="C486" s="45">
        <v>45967</v>
      </c>
      <c r="D486" s="10" t="s">
        <v>751</v>
      </c>
      <c r="E486" s="29">
        <v>45981</v>
      </c>
      <c r="F486" s="14">
        <v>45931</v>
      </c>
      <c r="G486" s="30" t="s">
        <v>857</v>
      </c>
      <c r="H486" s="7" t="s">
        <v>221</v>
      </c>
      <c r="I486" s="7" t="s">
        <v>225</v>
      </c>
      <c r="J486" s="10" t="s">
        <v>223</v>
      </c>
      <c r="K486" s="31">
        <v>35675</v>
      </c>
      <c r="L486" s="31">
        <v>6421.5</v>
      </c>
      <c r="M486" s="31">
        <v>42096.5</v>
      </c>
      <c r="N486" s="31">
        <v>713.5</v>
      </c>
      <c r="O486" s="31">
        <v>41383</v>
      </c>
      <c r="P486" s="9" t="s">
        <v>41</v>
      </c>
      <c r="Q486" s="12" t="s">
        <v>47</v>
      </c>
      <c r="T486" s="8">
        <f t="shared" si="10"/>
        <v>42096.5</v>
      </c>
    </row>
    <row r="487" spans="2:20" x14ac:dyDescent="0.35">
      <c r="B487" s="15">
        <v>485</v>
      </c>
      <c r="C487" s="45">
        <v>45967</v>
      </c>
      <c r="D487" s="10" t="s">
        <v>751</v>
      </c>
      <c r="E487" s="29">
        <v>45981</v>
      </c>
      <c r="F487" s="14">
        <v>45931</v>
      </c>
      <c r="G487" s="30" t="s">
        <v>857</v>
      </c>
      <c r="H487" s="7" t="s">
        <v>221</v>
      </c>
      <c r="I487" s="7" t="s">
        <v>226</v>
      </c>
      <c r="J487" s="10" t="s">
        <v>223</v>
      </c>
      <c r="K487" s="31">
        <v>58529</v>
      </c>
      <c r="L487" s="31">
        <v>10535.22</v>
      </c>
      <c r="M487" s="31">
        <v>69064.22</v>
      </c>
      <c r="N487" s="31">
        <v>1170.58</v>
      </c>
      <c r="O487" s="31">
        <v>67893.64</v>
      </c>
      <c r="P487" s="9" t="s">
        <v>41</v>
      </c>
      <c r="Q487" s="12" t="s">
        <v>47</v>
      </c>
      <c r="T487" s="8">
        <f t="shared" si="10"/>
        <v>69064.22</v>
      </c>
    </row>
    <row r="488" spans="2:20" x14ac:dyDescent="0.35">
      <c r="B488" s="15">
        <v>486</v>
      </c>
      <c r="C488" s="45">
        <v>45967</v>
      </c>
      <c r="D488" s="10" t="s">
        <v>751</v>
      </c>
      <c r="E488" s="29">
        <v>45981</v>
      </c>
      <c r="F488" s="14">
        <v>45931</v>
      </c>
      <c r="G488" s="30" t="s">
        <v>857</v>
      </c>
      <c r="H488" s="7" t="s">
        <v>221</v>
      </c>
      <c r="I488" s="7" t="s">
        <v>227</v>
      </c>
      <c r="J488" s="10" t="s">
        <v>223</v>
      </c>
      <c r="K488" s="31">
        <v>34752</v>
      </c>
      <c r="L488" s="31">
        <v>6255.36</v>
      </c>
      <c r="M488" s="31">
        <v>41007.360000000001</v>
      </c>
      <c r="N488" s="31">
        <v>695.04</v>
      </c>
      <c r="O488" s="31">
        <v>40312.32</v>
      </c>
      <c r="P488" s="9" t="s">
        <v>41</v>
      </c>
      <c r="Q488" s="12" t="s">
        <v>47</v>
      </c>
      <c r="T488" s="8">
        <f t="shared" si="10"/>
        <v>41007.360000000001</v>
      </c>
    </row>
    <row r="489" spans="2:20" x14ac:dyDescent="0.35">
      <c r="B489" s="15">
        <v>487</v>
      </c>
      <c r="C489" s="45">
        <v>45967</v>
      </c>
      <c r="D489" s="10" t="s">
        <v>751</v>
      </c>
      <c r="E489" s="29">
        <v>45981</v>
      </c>
      <c r="F489" s="14">
        <v>45931</v>
      </c>
      <c r="G489" s="30" t="s">
        <v>857</v>
      </c>
      <c r="H489" s="7" t="s">
        <v>221</v>
      </c>
      <c r="I489" s="7" t="s">
        <v>228</v>
      </c>
      <c r="J489" s="10" t="s">
        <v>229</v>
      </c>
      <c r="K489" s="31">
        <v>213460</v>
      </c>
      <c r="L489" s="31">
        <v>38422.799999999996</v>
      </c>
      <c r="M489" s="31">
        <v>251882.8</v>
      </c>
      <c r="N489" s="31">
        <v>4269.2</v>
      </c>
      <c r="O489" s="31">
        <v>247613.59999999998</v>
      </c>
      <c r="P489" s="9" t="s">
        <v>41</v>
      </c>
      <c r="Q489" s="12" t="s">
        <v>93</v>
      </c>
      <c r="T489" s="8">
        <f t="shared" si="10"/>
        <v>251882.8</v>
      </c>
    </row>
    <row r="490" spans="2:20" x14ac:dyDescent="0.35">
      <c r="B490" s="15">
        <v>488</v>
      </c>
      <c r="C490" s="45">
        <v>45967</v>
      </c>
      <c r="D490" s="10" t="s">
        <v>751</v>
      </c>
      <c r="E490" s="29">
        <v>45981</v>
      </c>
      <c r="F490" s="14">
        <v>45931</v>
      </c>
      <c r="G490" s="30" t="s">
        <v>857</v>
      </c>
      <c r="H490" s="7" t="s">
        <v>221</v>
      </c>
      <c r="I490" s="7" t="s">
        <v>230</v>
      </c>
      <c r="J490" s="10" t="s">
        <v>231</v>
      </c>
      <c r="K490" s="31">
        <v>223043</v>
      </c>
      <c r="L490" s="31">
        <v>40147.74</v>
      </c>
      <c r="M490" s="31">
        <v>263190.74</v>
      </c>
      <c r="N490" s="31">
        <v>4460.8599999999997</v>
      </c>
      <c r="O490" s="31">
        <v>258729.88</v>
      </c>
      <c r="P490" s="9" t="s">
        <v>41</v>
      </c>
      <c r="Q490" s="12" t="s">
        <v>27</v>
      </c>
      <c r="T490" s="8">
        <f t="shared" si="10"/>
        <v>263190.74</v>
      </c>
    </row>
    <row r="491" spans="2:20" ht="28.5" x14ac:dyDescent="0.35">
      <c r="B491" s="15">
        <v>489</v>
      </c>
      <c r="C491" s="45">
        <v>45967</v>
      </c>
      <c r="D491" s="10" t="s">
        <v>751</v>
      </c>
      <c r="E491" s="29">
        <v>45981</v>
      </c>
      <c r="F491" s="14">
        <v>45931</v>
      </c>
      <c r="G491" s="30" t="s">
        <v>857</v>
      </c>
      <c r="H491" s="7" t="s">
        <v>221</v>
      </c>
      <c r="I491" s="7" t="s">
        <v>232</v>
      </c>
      <c r="J491" s="10" t="s">
        <v>233</v>
      </c>
      <c r="K491" s="31">
        <v>27000</v>
      </c>
      <c r="L491" s="31">
        <v>4860</v>
      </c>
      <c r="M491" s="31">
        <v>31860</v>
      </c>
      <c r="N491" s="31">
        <v>540</v>
      </c>
      <c r="O491" s="31">
        <v>31320</v>
      </c>
      <c r="P491" s="9" t="s">
        <v>41</v>
      </c>
      <c r="Q491" s="12" t="s">
        <v>20</v>
      </c>
      <c r="T491" s="8">
        <f t="shared" si="10"/>
        <v>31860</v>
      </c>
    </row>
    <row r="492" spans="2:20" ht="28.5" x14ac:dyDescent="0.35">
      <c r="B492" s="15">
        <v>490</v>
      </c>
      <c r="C492" s="45">
        <v>45967</v>
      </c>
      <c r="D492" s="10" t="s">
        <v>751</v>
      </c>
      <c r="E492" s="29">
        <v>45981</v>
      </c>
      <c r="F492" s="14">
        <v>45931</v>
      </c>
      <c r="G492" s="30" t="s">
        <v>857</v>
      </c>
      <c r="H492" s="7" t="s">
        <v>221</v>
      </c>
      <c r="I492" s="7" t="s">
        <v>234</v>
      </c>
      <c r="J492" s="10" t="s">
        <v>233</v>
      </c>
      <c r="K492" s="31">
        <v>37016</v>
      </c>
      <c r="L492" s="31">
        <v>6662.88</v>
      </c>
      <c r="M492" s="31">
        <v>43678.879999999997</v>
      </c>
      <c r="N492" s="31">
        <v>740.32</v>
      </c>
      <c r="O492" s="31">
        <v>42938.559999999998</v>
      </c>
      <c r="P492" s="9" t="s">
        <v>41</v>
      </c>
      <c r="Q492" s="12" t="s">
        <v>20</v>
      </c>
      <c r="T492" s="8">
        <f t="shared" si="10"/>
        <v>43678.879999999997</v>
      </c>
    </row>
    <row r="493" spans="2:20" ht="28.5" x14ac:dyDescent="0.35">
      <c r="B493" s="15">
        <v>491</v>
      </c>
      <c r="C493" s="45">
        <v>45967</v>
      </c>
      <c r="D493" s="10" t="s">
        <v>751</v>
      </c>
      <c r="E493" s="29">
        <v>45981</v>
      </c>
      <c r="F493" s="14">
        <v>45931</v>
      </c>
      <c r="G493" s="30" t="s">
        <v>857</v>
      </c>
      <c r="H493" s="7" t="s">
        <v>221</v>
      </c>
      <c r="I493" s="7" t="s">
        <v>752</v>
      </c>
      <c r="J493" s="10" t="s">
        <v>233</v>
      </c>
      <c r="K493" s="31"/>
      <c r="L493" s="31">
        <v>0</v>
      </c>
      <c r="M493" s="31">
        <v>0</v>
      </c>
      <c r="N493" s="31">
        <v>0</v>
      </c>
      <c r="O493" s="31">
        <v>0</v>
      </c>
      <c r="P493" s="9" t="s">
        <v>41</v>
      </c>
      <c r="Q493" s="12" t="s">
        <v>20</v>
      </c>
      <c r="T493" s="8">
        <f t="shared" si="10"/>
        <v>0</v>
      </c>
    </row>
    <row r="494" spans="2:20" x14ac:dyDescent="0.35">
      <c r="B494" s="15">
        <v>492</v>
      </c>
      <c r="C494" s="45">
        <v>45967</v>
      </c>
      <c r="D494" s="10" t="s">
        <v>751</v>
      </c>
      <c r="E494" s="29">
        <v>45981</v>
      </c>
      <c r="F494" s="14">
        <v>45931</v>
      </c>
      <c r="G494" s="30" t="s">
        <v>857</v>
      </c>
      <c r="H494" s="7" t="s">
        <v>221</v>
      </c>
      <c r="I494" s="7" t="s">
        <v>235</v>
      </c>
      <c r="J494" s="10" t="s">
        <v>236</v>
      </c>
      <c r="K494" s="31">
        <v>35484</v>
      </c>
      <c r="L494" s="31">
        <v>6387.12</v>
      </c>
      <c r="M494" s="31">
        <v>41871.120000000003</v>
      </c>
      <c r="N494" s="31">
        <v>709.68000000000006</v>
      </c>
      <c r="O494" s="31">
        <v>41161.440000000002</v>
      </c>
      <c r="P494" s="9" t="s">
        <v>41</v>
      </c>
      <c r="Q494" s="12" t="s">
        <v>67</v>
      </c>
      <c r="T494" s="8">
        <f t="shared" si="10"/>
        <v>41871.120000000003</v>
      </c>
    </row>
    <row r="495" spans="2:20" x14ac:dyDescent="0.35">
      <c r="B495" s="15">
        <v>493</v>
      </c>
      <c r="C495" s="45">
        <v>45967</v>
      </c>
      <c r="D495" s="10" t="s">
        <v>751</v>
      </c>
      <c r="E495" s="29">
        <v>45981</v>
      </c>
      <c r="F495" s="14">
        <v>45931</v>
      </c>
      <c r="G495" s="30" t="s">
        <v>857</v>
      </c>
      <c r="H495" s="7" t="s">
        <v>221</v>
      </c>
      <c r="I495" s="7" t="s">
        <v>237</v>
      </c>
      <c r="J495" s="10" t="s">
        <v>236</v>
      </c>
      <c r="K495" s="31">
        <v>668095</v>
      </c>
      <c r="L495" s="31">
        <v>120257.09999999999</v>
      </c>
      <c r="M495" s="31">
        <v>788352.1</v>
      </c>
      <c r="N495" s="31">
        <v>13361.9</v>
      </c>
      <c r="O495" s="31">
        <v>774990.2</v>
      </c>
      <c r="P495" s="9" t="s">
        <v>41</v>
      </c>
      <c r="Q495" s="12" t="s">
        <v>67</v>
      </c>
      <c r="T495" s="8">
        <f t="shared" si="10"/>
        <v>788352.1</v>
      </c>
    </row>
    <row r="496" spans="2:20" x14ac:dyDescent="0.35">
      <c r="B496" s="15">
        <v>494</v>
      </c>
      <c r="C496" s="45">
        <v>45967</v>
      </c>
      <c r="D496" s="10" t="s">
        <v>751</v>
      </c>
      <c r="E496" s="29">
        <v>45981</v>
      </c>
      <c r="F496" s="14">
        <v>45931</v>
      </c>
      <c r="G496" s="30" t="s">
        <v>857</v>
      </c>
      <c r="H496" s="7" t="s">
        <v>221</v>
      </c>
      <c r="I496" s="7" t="s">
        <v>238</v>
      </c>
      <c r="J496" s="10" t="s">
        <v>236</v>
      </c>
      <c r="K496" s="31">
        <v>20000</v>
      </c>
      <c r="L496" s="31">
        <v>3600</v>
      </c>
      <c r="M496" s="31">
        <v>23600</v>
      </c>
      <c r="N496" s="31">
        <v>400</v>
      </c>
      <c r="O496" s="31">
        <v>23200</v>
      </c>
      <c r="P496" s="9" t="s">
        <v>41</v>
      </c>
      <c r="Q496" s="12" t="s">
        <v>67</v>
      </c>
      <c r="T496" s="8">
        <f t="shared" si="10"/>
        <v>23600</v>
      </c>
    </row>
    <row r="497" spans="2:20" x14ac:dyDescent="0.35">
      <c r="B497" s="15">
        <v>495</v>
      </c>
      <c r="C497" s="45">
        <v>45967</v>
      </c>
      <c r="D497" s="10" t="s">
        <v>751</v>
      </c>
      <c r="E497" s="29">
        <v>45981</v>
      </c>
      <c r="F497" s="14">
        <v>45931</v>
      </c>
      <c r="G497" s="30" t="s">
        <v>857</v>
      </c>
      <c r="H497" s="7" t="s">
        <v>221</v>
      </c>
      <c r="I497" s="7" t="s">
        <v>239</v>
      </c>
      <c r="J497" s="10" t="s">
        <v>240</v>
      </c>
      <c r="K497" s="31">
        <v>19000</v>
      </c>
      <c r="L497" s="31">
        <v>3420</v>
      </c>
      <c r="M497" s="31">
        <v>22420</v>
      </c>
      <c r="N497" s="31">
        <v>380</v>
      </c>
      <c r="O497" s="31">
        <v>22040</v>
      </c>
      <c r="P497" s="9" t="s">
        <v>41</v>
      </c>
      <c r="Q497" s="12" t="s">
        <v>241</v>
      </c>
      <c r="T497" s="8">
        <f t="shared" si="10"/>
        <v>22420</v>
      </c>
    </row>
    <row r="498" spans="2:20" x14ac:dyDescent="0.35">
      <c r="B498" s="15">
        <v>496</v>
      </c>
      <c r="C498" s="45">
        <v>45967</v>
      </c>
      <c r="D498" s="10" t="s">
        <v>751</v>
      </c>
      <c r="E498" s="29">
        <v>45981</v>
      </c>
      <c r="F498" s="14">
        <v>45931</v>
      </c>
      <c r="G498" s="30" t="s">
        <v>857</v>
      </c>
      <c r="H498" s="7" t="s">
        <v>221</v>
      </c>
      <c r="I498" s="7" t="s">
        <v>242</v>
      </c>
      <c r="J498" s="10" t="s">
        <v>236</v>
      </c>
      <c r="K498" s="31">
        <v>36720</v>
      </c>
      <c r="L498" s="31">
        <v>6609.5999999999995</v>
      </c>
      <c r="M498" s="31">
        <v>43329.599999999999</v>
      </c>
      <c r="N498" s="31">
        <v>734.4</v>
      </c>
      <c r="O498" s="31">
        <v>42595.199999999997</v>
      </c>
      <c r="P498" s="9" t="s">
        <v>41</v>
      </c>
      <c r="Q498" s="12" t="s">
        <v>67</v>
      </c>
      <c r="T498" s="8">
        <f t="shared" si="10"/>
        <v>43329.599999999999</v>
      </c>
    </row>
    <row r="499" spans="2:20" x14ac:dyDescent="0.35">
      <c r="B499" s="15">
        <v>497</v>
      </c>
      <c r="C499" s="45">
        <v>45967</v>
      </c>
      <c r="D499" s="10" t="s">
        <v>751</v>
      </c>
      <c r="E499" s="29">
        <v>45981</v>
      </c>
      <c r="F499" s="14">
        <v>45931</v>
      </c>
      <c r="G499" s="30" t="s">
        <v>857</v>
      </c>
      <c r="H499" s="7" t="s">
        <v>221</v>
      </c>
      <c r="I499" s="7" t="s">
        <v>243</v>
      </c>
      <c r="J499" s="10" t="s">
        <v>223</v>
      </c>
      <c r="K499" s="31">
        <v>80000</v>
      </c>
      <c r="L499" s="31">
        <v>14400</v>
      </c>
      <c r="M499" s="31">
        <v>94400</v>
      </c>
      <c r="N499" s="31">
        <v>1600</v>
      </c>
      <c r="O499" s="31">
        <v>92800</v>
      </c>
      <c r="P499" s="9" t="s">
        <v>41</v>
      </c>
      <c r="Q499" s="12" t="s">
        <v>47</v>
      </c>
      <c r="T499" s="8">
        <f t="shared" si="10"/>
        <v>94400</v>
      </c>
    </row>
    <row r="500" spans="2:20" x14ac:dyDescent="0.35">
      <c r="B500" s="15">
        <v>498</v>
      </c>
      <c r="C500" s="45">
        <v>45971</v>
      </c>
      <c r="D500" s="10">
        <v>23</v>
      </c>
      <c r="E500" s="29">
        <v>45981</v>
      </c>
      <c r="F500" s="14">
        <v>45931</v>
      </c>
      <c r="G500" s="30" t="s">
        <v>857</v>
      </c>
      <c r="H500" s="7" t="s">
        <v>470</v>
      </c>
      <c r="I500" s="7" t="s">
        <v>753</v>
      </c>
      <c r="J500" s="10" t="s">
        <v>110</v>
      </c>
      <c r="K500" s="31">
        <v>89888</v>
      </c>
      <c r="L500" s="31">
        <v>16180</v>
      </c>
      <c r="M500" s="31">
        <v>106068</v>
      </c>
      <c r="N500" s="31">
        <v>8989</v>
      </c>
      <c r="O500" s="31">
        <v>97079</v>
      </c>
      <c r="P500" s="9" t="s">
        <v>41</v>
      </c>
      <c r="Q500" s="20" t="s">
        <v>858</v>
      </c>
      <c r="T500" s="8">
        <f t="shared" si="10"/>
        <v>106068</v>
      </c>
    </row>
    <row r="501" spans="2:20" x14ac:dyDescent="0.35">
      <c r="B501" s="15">
        <v>499</v>
      </c>
      <c r="C501" s="45">
        <v>45972</v>
      </c>
      <c r="D501" s="10" t="s">
        <v>548</v>
      </c>
      <c r="E501" s="29">
        <v>45980</v>
      </c>
      <c r="F501" s="14">
        <v>45962</v>
      </c>
      <c r="G501" s="30" t="s">
        <v>857</v>
      </c>
      <c r="H501" s="7" t="s">
        <v>28</v>
      </c>
      <c r="I501" s="7" t="s">
        <v>754</v>
      </c>
      <c r="J501" s="10" t="s">
        <v>755</v>
      </c>
      <c r="K501" s="31">
        <v>21244</v>
      </c>
      <c r="L501" s="31">
        <v>3823.92</v>
      </c>
      <c r="M501" s="31">
        <v>25068</v>
      </c>
      <c r="N501" s="31">
        <v>0</v>
      </c>
      <c r="O501" s="31">
        <v>21244</v>
      </c>
      <c r="P501" s="9" t="s">
        <v>26</v>
      </c>
      <c r="Q501" s="12" t="s">
        <v>27</v>
      </c>
      <c r="T501" s="8">
        <f t="shared" si="10"/>
        <v>21244</v>
      </c>
    </row>
    <row r="502" spans="2:20" x14ac:dyDescent="0.35">
      <c r="B502" s="15">
        <v>500</v>
      </c>
      <c r="C502" s="45">
        <v>45967</v>
      </c>
      <c r="D502" s="10" t="s">
        <v>548</v>
      </c>
      <c r="E502" s="29">
        <v>45980</v>
      </c>
      <c r="F502" s="14">
        <v>45962</v>
      </c>
      <c r="G502" s="30" t="s">
        <v>857</v>
      </c>
      <c r="H502" s="7" t="s">
        <v>28</v>
      </c>
      <c r="I502" s="7" t="s">
        <v>756</v>
      </c>
      <c r="J502" s="10" t="s">
        <v>755</v>
      </c>
      <c r="K502" s="31">
        <v>6480</v>
      </c>
      <c r="L502" s="31">
        <v>1166.4000000000001</v>
      </c>
      <c r="M502" s="31">
        <v>7646</v>
      </c>
      <c r="N502" s="31">
        <v>0</v>
      </c>
      <c r="O502" s="31">
        <v>6480</v>
      </c>
      <c r="P502" s="9" t="s">
        <v>26</v>
      </c>
      <c r="Q502" s="12" t="s">
        <v>27</v>
      </c>
      <c r="T502" s="8">
        <f t="shared" si="10"/>
        <v>6480</v>
      </c>
    </row>
    <row r="503" spans="2:20" ht="28.5" x14ac:dyDescent="0.35">
      <c r="B503" s="15">
        <v>501</v>
      </c>
      <c r="C503" s="45">
        <v>45971</v>
      </c>
      <c r="D503" s="10" t="s">
        <v>548</v>
      </c>
      <c r="E503" s="29">
        <v>45980</v>
      </c>
      <c r="F503" s="14">
        <v>45962</v>
      </c>
      <c r="G503" s="30" t="s">
        <v>857</v>
      </c>
      <c r="H503" s="7" t="s">
        <v>532</v>
      </c>
      <c r="I503" s="7" t="s">
        <v>757</v>
      </c>
      <c r="J503" s="10" t="s">
        <v>758</v>
      </c>
      <c r="K503" s="31">
        <v>68520</v>
      </c>
      <c r="L503" s="31">
        <v>12334</v>
      </c>
      <c r="M503" s="31">
        <v>80854</v>
      </c>
      <c r="N503" s="31">
        <v>0</v>
      </c>
      <c r="O503" s="31">
        <v>68520</v>
      </c>
      <c r="P503" s="9" t="s">
        <v>26</v>
      </c>
      <c r="Q503" s="12" t="s">
        <v>27</v>
      </c>
      <c r="T503" s="8">
        <f t="shared" si="10"/>
        <v>68520</v>
      </c>
    </row>
    <row r="504" spans="2:20" x14ac:dyDescent="0.35">
      <c r="B504" s="15">
        <v>502</v>
      </c>
      <c r="C504" s="45">
        <v>45971</v>
      </c>
      <c r="D504" s="10" t="s">
        <v>548</v>
      </c>
      <c r="E504" s="29">
        <v>45980</v>
      </c>
      <c r="F504" s="14">
        <v>45962</v>
      </c>
      <c r="G504" s="30" t="s">
        <v>857</v>
      </c>
      <c r="H504" s="7" t="s">
        <v>532</v>
      </c>
      <c r="I504" s="7" t="s">
        <v>759</v>
      </c>
      <c r="J504" s="10" t="s">
        <v>760</v>
      </c>
      <c r="K504" s="31">
        <v>105000</v>
      </c>
      <c r="L504" s="31">
        <v>18900</v>
      </c>
      <c r="M504" s="31">
        <v>123900</v>
      </c>
      <c r="N504" s="31">
        <v>0</v>
      </c>
      <c r="O504" s="31">
        <v>105000</v>
      </c>
      <c r="P504" s="9" t="s">
        <v>26</v>
      </c>
      <c r="Q504" s="12" t="s">
        <v>27</v>
      </c>
      <c r="T504" s="8">
        <f t="shared" si="10"/>
        <v>105000</v>
      </c>
    </row>
    <row r="505" spans="2:20" ht="28.5" x14ac:dyDescent="0.35">
      <c r="B505" s="15">
        <v>503</v>
      </c>
      <c r="C505" s="45">
        <v>45973</v>
      </c>
      <c r="D505" s="10">
        <v>781</v>
      </c>
      <c r="E505" s="29">
        <v>45980</v>
      </c>
      <c r="F505" s="14">
        <v>45962</v>
      </c>
      <c r="G505" s="30" t="s">
        <v>857</v>
      </c>
      <c r="H505" s="7" t="s">
        <v>739</v>
      </c>
      <c r="I505" s="7" t="s">
        <v>761</v>
      </c>
      <c r="J505" s="10" t="s">
        <v>281</v>
      </c>
      <c r="K505" s="31">
        <v>35858</v>
      </c>
      <c r="L505" s="31">
        <v>8642</v>
      </c>
      <c r="M505" s="31">
        <v>44500</v>
      </c>
      <c r="N505" s="31">
        <v>0</v>
      </c>
      <c r="O505" s="31">
        <v>25644</v>
      </c>
      <c r="P505" s="9" t="s">
        <v>19</v>
      </c>
      <c r="Q505" s="12" t="s">
        <v>20</v>
      </c>
      <c r="T505" s="8">
        <f t="shared" si="10"/>
        <v>25644</v>
      </c>
    </row>
    <row r="506" spans="2:20" x14ac:dyDescent="0.35">
      <c r="B506" s="15">
        <v>504</v>
      </c>
      <c r="C506" s="45">
        <v>45978</v>
      </c>
      <c r="D506" s="10">
        <v>1139</v>
      </c>
      <c r="E506" s="29">
        <v>45980</v>
      </c>
      <c r="F506" s="14">
        <v>45962</v>
      </c>
      <c r="G506" s="30" t="s">
        <v>857</v>
      </c>
      <c r="H506" s="7" t="s">
        <v>305</v>
      </c>
      <c r="I506" s="7" t="s">
        <v>762</v>
      </c>
      <c r="J506" s="10" t="s">
        <v>763</v>
      </c>
      <c r="K506" s="31">
        <v>16600</v>
      </c>
      <c r="L506" s="31">
        <v>2988</v>
      </c>
      <c r="M506" s="31">
        <v>19588</v>
      </c>
      <c r="N506" s="31">
        <v>0</v>
      </c>
      <c r="O506" s="31">
        <v>19588</v>
      </c>
      <c r="P506" s="9" t="s">
        <v>26</v>
      </c>
      <c r="Q506" s="12" t="s">
        <v>241</v>
      </c>
      <c r="T506" s="8">
        <f t="shared" si="10"/>
        <v>19588</v>
      </c>
    </row>
    <row r="507" spans="2:20" x14ac:dyDescent="0.35">
      <c r="B507" s="15">
        <v>505</v>
      </c>
      <c r="C507" s="45">
        <v>45971</v>
      </c>
      <c r="D507" s="10">
        <v>1147</v>
      </c>
      <c r="E507" s="29">
        <v>45980</v>
      </c>
      <c r="F507" s="14">
        <v>45962</v>
      </c>
      <c r="G507" s="30" t="s">
        <v>857</v>
      </c>
      <c r="H507" s="7" t="s">
        <v>305</v>
      </c>
      <c r="I507" s="7" t="s">
        <v>764</v>
      </c>
      <c r="J507" s="10" t="s">
        <v>765</v>
      </c>
      <c r="K507" s="31">
        <v>40911</v>
      </c>
      <c r="L507" s="31">
        <v>7364</v>
      </c>
      <c r="M507" s="31">
        <v>48275</v>
      </c>
      <c r="N507" s="31">
        <v>0</v>
      </c>
      <c r="O507" s="31">
        <v>48275</v>
      </c>
      <c r="P507" s="9" t="s">
        <v>19</v>
      </c>
      <c r="Q507" s="12" t="s">
        <v>241</v>
      </c>
      <c r="T507" s="8">
        <f t="shared" si="10"/>
        <v>48275</v>
      </c>
    </row>
    <row r="508" spans="2:20" x14ac:dyDescent="0.35">
      <c r="B508" s="15">
        <v>506</v>
      </c>
      <c r="C508" s="45">
        <v>45972</v>
      </c>
      <c r="D508" s="10" t="s">
        <v>766</v>
      </c>
      <c r="E508" s="29">
        <v>45980</v>
      </c>
      <c r="F508" s="14">
        <v>45962</v>
      </c>
      <c r="G508" s="30" t="s">
        <v>857</v>
      </c>
      <c r="H508" s="7" t="s">
        <v>172</v>
      </c>
      <c r="I508" s="7" t="s">
        <v>767</v>
      </c>
      <c r="J508" s="10" t="s">
        <v>92</v>
      </c>
      <c r="K508" s="31">
        <v>94200</v>
      </c>
      <c r="L508" s="31">
        <v>16956</v>
      </c>
      <c r="M508" s="31">
        <v>111156</v>
      </c>
      <c r="N508" s="31">
        <v>0</v>
      </c>
      <c r="O508" s="31">
        <v>111156</v>
      </c>
      <c r="P508" s="9" t="s">
        <v>26</v>
      </c>
      <c r="Q508" s="12" t="s">
        <v>93</v>
      </c>
      <c r="T508" s="8">
        <f t="shared" si="10"/>
        <v>111156</v>
      </c>
    </row>
    <row r="509" spans="2:20" ht="28.5" x14ac:dyDescent="0.35">
      <c r="B509" s="15">
        <v>507</v>
      </c>
      <c r="C509" s="45">
        <v>45978</v>
      </c>
      <c r="D509" s="10" t="s">
        <v>768</v>
      </c>
      <c r="E509" s="29">
        <v>45985</v>
      </c>
      <c r="F509" s="14">
        <v>45962</v>
      </c>
      <c r="G509" s="30" t="s">
        <v>857</v>
      </c>
      <c r="H509" s="7" t="s">
        <v>116</v>
      </c>
      <c r="I509" s="7" t="s">
        <v>769</v>
      </c>
      <c r="J509" s="10" t="s">
        <v>521</v>
      </c>
      <c r="K509" s="31">
        <v>200325</v>
      </c>
      <c r="L509" s="31">
        <v>36059</v>
      </c>
      <c r="M509" s="31">
        <v>236384</v>
      </c>
      <c r="N509" s="31"/>
      <c r="O509" s="31">
        <v>136221</v>
      </c>
      <c r="P509" s="9" t="s">
        <v>41</v>
      </c>
      <c r="Q509" s="12" t="s">
        <v>47</v>
      </c>
      <c r="T509" s="8">
        <f t="shared" si="10"/>
        <v>136221</v>
      </c>
    </row>
    <row r="510" spans="2:20" ht="28.5" x14ac:dyDescent="0.35">
      <c r="B510" s="15">
        <v>508</v>
      </c>
      <c r="C510" s="45">
        <v>45974</v>
      </c>
      <c r="D510" s="10" t="s">
        <v>548</v>
      </c>
      <c r="E510" s="29">
        <v>45985</v>
      </c>
      <c r="F510" s="14">
        <v>45962</v>
      </c>
      <c r="G510" s="30" t="s">
        <v>857</v>
      </c>
      <c r="H510" s="7" t="s">
        <v>770</v>
      </c>
      <c r="I510" s="7" t="s">
        <v>771</v>
      </c>
      <c r="J510" s="10" t="s">
        <v>772</v>
      </c>
      <c r="K510" s="31">
        <v>36000</v>
      </c>
      <c r="L510" s="31">
        <v>6480</v>
      </c>
      <c r="M510" s="31">
        <v>42480</v>
      </c>
      <c r="N510" s="31">
        <v>360</v>
      </c>
      <c r="O510" s="31">
        <v>17640</v>
      </c>
      <c r="P510" s="9" t="s">
        <v>26</v>
      </c>
      <c r="Q510" s="12" t="s">
        <v>20</v>
      </c>
      <c r="T510" s="8">
        <f t="shared" si="10"/>
        <v>18000</v>
      </c>
    </row>
    <row r="511" spans="2:20" ht="28.5" x14ac:dyDescent="0.35">
      <c r="B511" s="15">
        <v>509</v>
      </c>
      <c r="C511" s="45">
        <v>45974</v>
      </c>
      <c r="D511" s="10" t="s">
        <v>548</v>
      </c>
      <c r="E511" s="29">
        <v>45985</v>
      </c>
      <c r="F511" s="14">
        <v>45962</v>
      </c>
      <c r="G511" s="30" t="s">
        <v>857</v>
      </c>
      <c r="H511" s="7" t="s">
        <v>770</v>
      </c>
      <c r="I511" s="7" t="s">
        <v>773</v>
      </c>
      <c r="J511" s="10" t="s">
        <v>772</v>
      </c>
      <c r="K511" s="31">
        <v>41850</v>
      </c>
      <c r="L511" s="31">
        <v>7533</v>
      </c>
      <c r="M511" s="31">
        <v>49383</v>
      </c>
      <c r="N511" s="31"/>
      <c r="O511" s="31">
        <v>20925</v>
      </c>
      <c r="P511" s="9" t="s">
        <v>26</v>
      </c>
      <c r="Q511" s="12" t="s">
        <v>20</v>
      </c>
      <c r="T511" s="8">
        <f t="shared" si="10"/>
        <v>20925</v>
      </c>
    </row>
    <row r="512" spans="2:20" ht="28.5" x14ac:dyDescent="0.35">
      <c r="B512" s="15">
        <v>510</v>
      </c>
      <c r="C512" s="45">
        <v>45974</v>
      </c>
      <c r="D512" s="10" t="s">
        <v>548</v>
      </c>
      <c r="E512" s="29">
        <v>45985</v>
      </c>
      <c r="F512" s="14">
        <v>45962</v>
      </c>
      <c r="G512" s="30" t="s">
        <v>857</v>
      </c>
      <c r="H512" s="7" t="s">
        <v>770</v>
      </c>
      <c r="I512" s="7" t="s">
        <v>774</v>
      </c>
      <c r="J512" s="10" t="s">
        <v>772</v>
      </c>
      <c r="K512" s="31">
        <v>32150</v>
      </c>
      <c r="L512" s="31">
        <v>5787</v>
      </c>
      <c r="M512" s="31">
        <v>37937</v>
      </c>
      <c r="N512" s="31">
        <v>322</v>
      </c>
      <c r="O512" s="31">
        <v>15754</v>
      </c>
      <c r="P512" s="9" t="s">
        <v>26</v>
      </c>
      <c r="Q512" s="12" t="s">
        <v>20</v>
      </c>
      <c r="T512" s="8">
        <f t="shared" si="10"/>
        <v>16076</v>
      </c>
    </row>
    <row r="513" spans="2:20" x14ac:dyDescent="0.35">
      <c r="B513" s="15">
        <v>511</v>
      </c>
      <c r="C513" s="45">
        <v>45962</v>
      </c>
      <c r="D513" s="10"/>
      <c r="E513" s="29">
        <v>45979</v>
      </c>
      <c r="F513" s="14">
        <v>45931</v>
      </c>
      <c r="G513" s="30" t="s">
        <v>857</v>
      </c>
      <c r="H513" s="7" t="s">
        <v>145</v>
      </c>
      <c r="I513" s="7" t="s">
        <v>775</v>
      </c>
      <c r="J513" s="10" t="s">
        <v>147</v>
      </c>
      <c r="K513" s="31">
        <v>0</v>
      </c>
      <c r="L513" s="31"/>
      <c r="M513" s="31">
        <v>998359</v>
      </c>
      <c r="N513" s="31"/>
      <c r="O513" s="31">
        <v>998359</v>
      </c>
      <c r="P513" s="9" t="s">
        <v>41</v>
      </c>
      <c r="Q513" s="12" t="s">
        <v>93</v>
      </c>
      <c r="T513" s="8">
        <f t="shared" si="10"/>
        <v>998359</v>
      </c>
    </row>
    <row r="514" spans="2:20" x14ac:dyDescent="0.35">
      <c r="B514" s="15">
        <v>512</v>
      </c>
      <c r="C514" s="45">
        <v>45962</v>
      </c>
      <c r="D514" s="10"/>
      <c r="E514" s="29">
        <v>45980</v>
      </c>
      <c r="F514" s="14">
        <v>45962</v>
      </c>
      <c r="G514" s="30" t="s">
        <v>857</v>
      </c>
      <c r="H514" s="7" t="s">
        <v>143</v>
      </c>
      <c r="I514" s="7" t="s">
        <v>144</v>
      </c>
      <c r="J514" s="10" t="s">
        <v>588</v>
      </c>
      <c r="K514" s="31">
        <v>11.8</v>
      </c>
      <c r="L514" s="31"/>
      <c r="M514" s="31">
        <v>11.8</v>
      </c>
      <c r="N514" s="31"/>
      <c r="O514" s="31">
        <v>11.8</v>
      </c>
      <c r="P514" s="9" t="s">
        <v>41</v>
      </c>
      <c r="Q514" s="20" t="s">
        <v>858</v>
      </c>
      <c r="T514" s="8">
        <f t="shared" si="10"/>
        <v>11.8</v>
      </c>
    </row>
    <row r="515" spans="2:20" x14ac:dyDescent="0.35">
      <c r="B515" s="15">
        <v>513</v>
      </c>
      <c r="C515" s="45">
        <v>45983</v>
      </c>
      <c r="D515" s="10">
        <v>1</v>
      </c>
      <c r="E515" s="29">
        <v>45993</v>
      </c>
      <c r="F515" s="14">
        <v>45992</v>
      </c>
      <c r="G515" s="30" t="s">
        <v>857</v>
      </c>
      <c r="H515" s="7" t="s">
        <v>776</v>
      </c>
      <c r="I515" s="7" t="s">
        <v>777</v>
      </c>
      <c r="J515" s="10" t="s">
        <v>617</v>
      </c>
      <c r="K515" s="31">
        <v>11500</v>
      </c>
      <c r="L515" s="31"/>
      <c r="M515" s="31">
        <v>11500</v>
      </c>
      <c r="N515" s="31"/>
      <c r="O515" s="31">
        <v>11500</v>
      </c>
      <c r="P515" s="9" t="s">
        <v>26</v>
      </c>
      <c r="Q515" s="20" t="s">
        <v>155</v>
      </c>
      <c r="T515" s="8">
        <f t="shared" si="10"/>
        <v>11500</v>
      </c>
    </row>
    <row r="516" spans="2:20" ht="28.5" x14ac:dyDescent="0.35">
      <c r="B516" s="15">
        <v>514</v>
      </c>
      <c r="C516" s="45">
        <v>45966</v>
      </c>
      <c r="D516" s="10">
        <v>749</v>
      </c>
      <c r="E516" s="29">
        <v>45993</v>
      </c>
      <c r="F516" s="14">
        <v>45992</v>
      </c>
      <c r="G516" s="30" t="s">
        <v>857</v>
      </c>
      <c r="H516" s="7" t="s">
        <v>778</v>
      </c>
      <c r="I516" s="7" t="s">
        <v>779</v>
      </c>
      <c r="J516" s="10" t="s">
        <v>92</v>
      </c>
      <c r="K516" s="31">
        <v>18260</v>
      </c>
      <c r="L516" s="31">
        <v>3287</v>
      </c>
      <c r="M516" s="31">
        <v>21547</v>
      </c>
      <c r="N516" s="31"/>
      <c r="O516" s="31">
        <v>21547</v>
      </c>
      <c r="P516" s="9" t="s">
        <v>26</v>
      </c>
      <c r="Q516" s="12" t="s">
        <v>93</v>
      </c>
      <c r="T516" s="8">
        <f t="shared" si="10"/>
        <v>21547</v>
      </c>
    </row>
    <row r="517" spans="2:20" x14ac:dyDescent="0.35">
      <c r="B517" s="15">
        <v>515</v>
      </c>
      <c r="C517" s="45">
        <v>45983</v>
      </c>
      <c r="D517" s="10" t="s">
        <v>780</v>
      </c>
      <c r="E517" s="29">
        <v>45993</v>
      </c>
      <c r="F517" s="14">
        <v>45992</v>
      </c>
      <c r="G517" s="30" t="s">
        <v>857</v>
      </c>
      <c r="H517" s="7" t="s">
        <v>453</v>
      </c>
      <c r="I517" s="7" t="s">
        <v>781</v>
      </c>
      <c r="J517" s="10" t="s">
        <v>709</v>
      </c>
      <c r="K517" s="31">
        <v>147900</v>
      </c>
      <c r="L517" s="31">
        <v>26622</v>
      </c>
      <c r="M517" s="31">
        <v>174522</v>
      </c>
      <c r="N517" s="31">
        <v>1479</v>
      </c>
      <c r="O517" s="31">
        <v>85782</v>
      </c>
      <c r="P517" s="9" t="s">
        <v>19</v>
      </c>
      <c r="Q517" s="12" t="s">
        <v>27</v>
      </c>
      <c r="T517" s="8">
        <f t="shared" si="10"/>
        <v>87261</v>
      </c>
    </row>
    <row r="518" spans="2:20" ht="28.5" x14ac:dyDescent="0.35">
      <c r="B518" s="15">
        <v>516</v>
      </c>
      <c r="C518" s="45">
        <v>45978</v>
      </c>
      <c r="D518" s="10">
        <v>21719</v>
      </c>
      <c r="E518" s="29">
        <v>45993</v>
      </c>
      <c r="F518" s="14">
        <v>45992</v>
      </c>
      <c r="G518" s="30" t="s">
        <v>857</v>
      </c>
      <c r="H518" s="7" t="s">
        <v>200</v>
      </c>
      <c r="I518" s="7" t="s">
        <v>782</v>
      </c>
      <c r="J518" s="18" t="s">
        <v>89</v>
      </c>
      <c r="K518" s="31">
        <v>13400</v>
      </c>
      <c r="L518" s="31">
        <v>2412</v>
      </c>
      <c r="M518" s="31">
        <v>15812</v>
      </c>
      <c r="N518" s="31"/>
      <c r="O518" s="31">
        <v>15812</v>
      </c>
      <c r="P518" s="9" t="s">
        <v>41</v>
      </c>
      <c r="Q518" s="12" t="s">
        <v>67</v>
      </c>
      <c r="T518" s="8">
        <f t="shared" si="10"/>
        <v>15812</v>
      </c>
    </row>
    <row r="519" spans="2:20" x14ac:dyDescent="0.35">
      <c r="B519" s="15">
        <v>517</v>
      </c>
      <c r="C519" s="45">
        <v>45958</v>
      </c>
      <c r="D519" s="10">
        <v>948</v>
      </c>
      <c r="E519" s="29">
        <v>45993</v>
      </c>
      <c r="F519" s="14">
        <v>45992</v>
      </c>
      <c r="G519" s="30" t="s">
        <v>857</v>
      </c>
      <c r="H519" s="7" t="s">
        <v>523</v>
      </c>
      <c r="I519" s="7" t="s">
        <v>783</v>
      </c>
      <c r="J519" s="10" t="s">
        <v>92</v>
      </c>
      <c r="K519" s="31">
        <v>2500</v>
      </c>
      <c r="L519" s="31">
        <v>450</v>
      </c>
      <c r="M519" s="31">
        <v>2950</v>
      </c>
      <c r="N519" s="31"/>
      <c r="O519" s="31">
        <v>2950</v>
      </c>
      <c r="P519" s="9" t="s">
        <v>26</v>
      </c>
      <c r="Q519" s="12" t="s">
        <v>93</v>
      </c>
      <c r="T519" s="8">
        <f t="shared" si="10"/>
        <v>2950</v>
      </c>
    </row>
    <row r="520" spans="2:20" x14ac:dyDescent="0.35">
      <c r="B520" s="15">
        <v>518</v>
      </c>
      <c r="C520" s="45">
        <v>45991</v>
      </c>
      <c r="D520" s="10">
        <v>1</v>
      </c>
      <c r="E520" s="29">
        <v>45993</v>
      </c>
      <c r="F520" s="14">
        <v>45992</v>
      </c>
      <c r="G520" s="30" t="s">
        <v>857</v>
      </c>
      <c r="H520" s="7" t="s">
        <v>776</v>
      </c>
      <c r="I520" s="7" t="s">
        <v>784</v>
      </c>
      <c r="J520" s="10" t="s">
        <v>617</v>
      </c>
      <c r="K520" s="31">
        <v>30000</v>
      </c>
      <c r="L520" s="31"/>
      <c r="M520" s="31">
        <v>30000</v>
      </c>
      <c r="N520" s="31"/>
      <c r="O520" s="31">
        <v>30000</v>
      </c>
      <c r="P520" s="9" t="s">
        <v>26</v>
      </c>
      <c r="Q520" s="20" t="s">
        <v>155</v>
      </c>
      <c r="T520" s="8">
        <f t="shared" ref="T520:T583" si="11">N520+O520</f>
        <v>30000</v>
      </c>
    </row>
    <row r="521" spans="2:20" ht="28.5" x14ac:dyDescent="0.35">
      <c r="B521" s="15">
        <v>519</v>
      </c>
      <c r="C521" s="45">
        <v>45986</v>
      </c>
      <c r="D521" s="10" t="s">
        <v>785</v>
      </c>
      <c r="E521" s="29">
        <v>45993</v>
      </c>
      <c r="F521" s="14">
        <v>45992</v>
      </c>
      <c r="G521" s="30" t="s">
        <v>857</v>
      </c>
      <c r="H521" s="7" t="s">
        <v>453</v>
      </c>
      <c r="I521" s="7" t="s">
        <v>786</v>
      </c>
      <c r="J521" s="10" t="s">
        <v>628</v>
      </c>
      <c r="K521" s="31">
        <v>865425</v>
      </c>
      <c r="L521" s="31">
        <v>155777</v>
      </c>
      <c r="M521" s="31">
        <v>1021202</v>
      </c>
      <c r="N521" s="31">
        <v>8654</v>
      </c>
      <c r="O521" s="31">
        <v>259628</v>
      </c>
      <c r="P521" s="9" t="s">
        <v>19</v>
      </c>
      <c r="Q521" s="12" t="s">
        <v>27</v>
      </c>
      <c r="T521" s="8">
        <f t="shared" si="11"/>
        <v>268282</v>
      </c>
    </row>
    <row r="522" spans="2:20" x14ac:dyDescent="0.35">
      <c r="B522" s="15">
        <v>520</v>
      </c>
      <c r="C522" s="45">
        <v>45982</v>
      </c>
      <c r="D522" s="10">
        <v>1</v>
      </c>
      <c r="E522" s="29">
        <v>45994</v>
      </c>
      <c r="F522" s="14">
        <v>45992</v>
      </c>
      <c r="G522" s="30" t="s">
        <v>857</v>
      </c>
      <c r="H522" s="7" t="s">
        <v>787</v>
      </c>
      <c r="I522" s="7" t="s">
        <v>788</v>
      </c>
      <c r="J522" s="10" t="s">
        <v>789</v>
      </c>
      <c r="K522" s="31">
        <v>30600</v>
      </c>
      <c r="L522" s="31">
        <v>2115</v>
      </c>
      <c r="M522" s="31">
        <v>32715</v>
      </c>
      <c r="N522" s="31"/>
      <c r="O522" s="31">
        <v>32715</v>
      </c>
      <c r="P522" s="9" t="s">
        <v>26</v>
      </c>
      <c r="Q522" s="12" t="s">
        <v>241</v>
      </c>
      <c r="T522" s="8">
        <f t="shared" si="11"/>
        <v>32715</v>
      </c>
    </row>
    <row r="523" spans="2:20" x14ac:dyDescent="0.35">
      <c r="B523" s="15">
        <v>521</v>
      </c>
      <c r="C523" s="45">
        <v>45976</v>
      </c>
      <c r="D523" s="10">
        <v>2762</v>
      </c>
      <c r="E523" s="29">
        <v>45994</v>
      </c>
      <c r="F523" s="14">
        <v>45992</v>
      </c>
      <c r="G523" s="30" t="s">
        <v>857</v>
      </c>
      <c r="H523" s="7" t="s">
        <v>23</v>
      </c>
      <c r="I523" s="7" t="s">
        <v>790</v>
      </c>
      <c r="J523" s="18" t="s">
        <v>46</v>
      </c>
      <c r="K523" s="31">
        <v>81973</v>
      </c>
      <c r="L523" s="31">
        <v>13991</v>
      </c>
      <c r="M523" s="31">
        <v>95964</v>
      </c>
      <c r="N523" s="31"/>
      <c r="O523" s="31">
        <v>95964</v>
      </c>
      <c r="P523" s="9" t="s">
        <v>26</v>
      </c>
      <c r="Q523" s="12" t="s">
        <v>67</v>
      </c>
      <c r="T523" s="8">
        <f t="shared" si="11"/>
        <v>95964</v>
      </c>
    </row>
    <row r="524" spans="2:20" x14ac:dyDescent="0.35">
      <c r="B524" s="15">
        <v>522</v>
      </c>
      <c r="C524" s="45">
        <v>45983</v>
      </c>
      <c r="D524" s="10" t="s">
        <v>791</v>
      </c>
      <c r="E524" s="29">
        <v>45994</v>
      </c>
      <c r="F524" s="14">
        <v>45992</v>
      </c>
      <c r="G524" s="30" t="s">
        <v>857</v>
      </c>
      <c r="H524" s="7" t="s">
        <v>792</v>
      </c>
      <c r="I524" s="7" t="s">
        <v>793</v>
      </c>
      <c r="J524" s="10" t="s">
        <v>92</v>
      </c>
      <c r="K524" s="31">
        <v>31356</v>
      </c>
      <c r="L524" s="31">
        <v>5644</v>
      </c>
      <c r="M524" s="31">
        <v>37000</v>
      </c>
      <c r="N524" s="31"/>
      <c r="O524" s="31">
        <v>37000</v>
      </c>
      <c r="P524" s="9" t="s">
        <v>26</v>
      </c>
      <c r="Q524" s="12" t="s">
        <v>93</v>
      </c>
      <c r="T524" s="8">
        <f t="shared" si="11"/>
        <v>37000</v>
      </c>
    </row>
    <row r="525" spans="2:20" ht="28.5" x14ac:dyDescent="0.35">
      <c r="B525" s="15">
        <v>523</v>
      </c>
      <c r="C525" s="45">
        <v>45987</v>
      </c>
      <c r="D525" s="10" t="s">
        <v>794</v>
      </c>
      <c r="E525" s="29">
        <v>45995</v>
      </c>
      <c r="F525" s="14">
        <v>45962</v>
      </c>
      <c r="G525" s="30" t="s">
        <v>857</v>
      </c>
      <c r="H525" s="7" t="s">
        <v>69</v>
      </c>
      <c r="I525" s="7" t="s">
        <v>795</v>
      </c>
      <c r="J525" s="10" t="s">
        <v>71</v>
      </c>
      <c r="K525" s="31">
        <v>1321803</v>
      </c>
      <c r="L525" s="31">
        <v>237925</v>
      </c>
      <c r="M525" s="31">
        <v>1559728</v>
      </c>
      <c r="N525" s="31">
        <v>26436</v>
      </c>
      <c r="O525" s="31">
        <v>1533291</v>
      </c>
      <c r="P525" s="9" t="s">
        <v>41</v>
      </c>
      <c r="Q525" s="12" t="s">
        <v>31</v>
      </c>
      <c r="T525" s="8">
        <f t="shared" si="11"/>
        <v>1559727</v>
      </c>
    </row>
    <row r="526" spans="2:20" x14ac:dyDescent="0.35">
      <c r="B526" s="15">
        <v>524</v>
      </c>
      <c r="C526" s="45">
        <v>45987</v>
      </c>
      <c r="D526" s="10" t="s">
        <v>796</v>
      </c>
      <c r="E526" s="29">
        <v>45994</v>
      </c>
      <c r="F526" s="14">
        <v>45962</v>
      </c>
      <c r="G526" s="30" t="s">
        <v>857</v>
      </c>
      <c r="H526" s="7" t="s">
        <v>69</v>
      </c>
      <c r="I526" s="7" t="s">
        <v>716</v>
      </c>
      <c r="J526" s="10" t="s">
        <v>71</v>
      </c>
      <c r="K526" s="31">
        <v>129314</v>
      </c>
      <c r="L526" s="31">
        <v>23277</v>
      </c>
      <c r="M526" s="31">
        <v>152591</v>
      </c>
      <c r="N526" s="31">
        <v>2586</v>
      </c>
      <c r="O526" s="31">
        <v>150004</v>
      </c>
      <c r="P526" s="9" t="s">
        <v>41</v>
      </c>
      <c r="Q526" s="12" t="s">
        <v>31</v>
      </c>
      <c r="T526" s="8">
        <f t="shared" si="11"/>
        <v>152590</v>
      </c>
    </row>
    <row r="527" spans="2:20" x14ac:dyDescent="0.35">
      <c r="B527" s="15">
        <v>525</v>
      </c>
      <c r="C527" s="45">
        <v>45987</v>
      </c>
      <c r="D527" s="10" t="s">
        <v>797</v>
      </c>
      <c r="E527" s="29">
        <v>45994</v>
      </c>
      <c r="F527" s="14">
        <v>45962</v>
      </c>
      <c r="G527" s="30" t="s">
        <v>857</v>
      </c>
      <c r="H527" s="7" t="s">
        <v>69</v>
      </c>
      <c r="I527" s="7" t="s">
        <v>714</v>
      </c>
      <c r="J527" s="10" t="s">
        <v>71</v>
      </c>
      <c r="K527" s="31">
        <v>36733</v>
      </c>
      <c r="L527" s="31">
        <v>6612</v>
      </c>
      <c r="M527" s="31">
        <v>43345</v>
      </c>
      <c r="N527" s="31">
        <v>735</v>
      </c>
      <c r="O527" s="31">
        <v>42610</v>
      </c>
      <c r="P527" s="9" t="s">
        <v>41</v>
      </c>
      <c r="Q527" s="12" t="s">
        <v>31</v>
      </c>
      <c r="T527" s="8">
        <f t="shared" si="11"/>
        <v>43345</v>
      </c>
    </row>
    <row r="528" spans="2:20" x14ac:dyDescent="0.35">
      <c r="B528" s="15">
        <v>526</v>
      </c>
      <c r="C528" s="45">
        <v>45963</v>
      </c>
      <c r="D528" s="10">
        <v>1</v>
      </c>
      <c r="E528" s="29">
        <v>45994</v>
      </c>
      <c r="F528" s="14">
        <v>45992</v>
      </c>
      <c r="G528" s="30" t="s">
        <v>857</v>
      </c>
      <c r="H528" s="7" t="s">
        <v>120</v>
      </c>
      <c r="I528" s="7" t="s">
        <v>798</v>
      </c>
      <c r="J528" s="10" t="s">
        <v>122</v>
      </c>
      <c r="K528" s="31">
        <v>1550</v>
      </c>
      <c r="L528" s="31"/>
      <c r="M528" s="31">
        <v>1550</v>
      </c>
      <c r="N528" s="31"/>
      <c r="O528" s="31">
        <v>1550</v>
      </c>
      <c r="P528" s="9" t="s">
        <v>26</v>
      </c>
      <c r="Q528" s="12" t="s">
        <v>27</v>
      </c>
      <c r="T528" s="8">
        <f t="shared" si="11"/>
        <v>1550</v>
      </c>
    </row>
    <row r="529" spans="2:20" x14ac:dyDescent="0.35">
      <c r="B529" s="15">
        <v>527</v>
      </c>
      <c r="C529" s="45">
        <v>45992</v>
      </c>
      <c r="D529" s="10" t="s">
        <v>799</v>
      </c>
      <c r="E529" s="29">
        <v>46006</v>
      </c>
      <c r="F529" s="14">
        <v>45962</v>
      </c>
      <c r="G529" s="30" t="s">
        <v>857</v>
      </c>
      <c r="H529" s="7" t="s">
        <v>221</v>
      </c>
      <c r="I529" s="7" t="s">
        <v>222</v>
      </c>
      <c r="J529" s="10" t="s">
        <v>223</v>
      </c>
      <c r="K529" s="31">
        <v>77220</v>
      </c>
      <c r="L529" s="31">
        <v>13899.6</v>
      </c>
      <c r="M529" s="31">
        <v>91119.6</v>
      </c>
      <c r="N529" s="31">
        <v>772.2</v>
      </c>
      <c r="O529" s="31">
        <v>90347.400000000009</v>
      </c>
      <c r="P529" s="9" t="s">
        <v>41</v>
      </c>
      <c r="Q529" s="12" t="s">
        <v>47</v>
      </c>
      <c r="T529" s="8">
        <f t="shared" si="11"/>
        <v>91119.6</v>
      </c>
    </row>
    <row r="530" spans="2:20" x14ac:dyDescent="0.35">
      <c r="B530" s="15">
        <v>528</v>
      </c>
      <c r="C530" s="45">
        <v>45992</v>
      </c>
      <c r="D530" s="10" t="s">
        <v>799</v>
      </c>
      <c r="E530" s="29">
        <v>46006</v>
      </c>
      <c r="F530" s="14">
        <v>45962</v>
      </c>
      <c r="G530" s="30" t="s">
        <v>857</v>
      </c>
      <c r="H530" s="7" t="s">
        <v>221</v>
      </c>
      <c r="I530" s="7" t="s">
        <v>224</v>
      </c>
      <c r="J530" s="10" t="s">
        <v>223</v>
      </c>
      <c r="K530" s="31">
        <v>58333</v>
      </c>
      <c r="L530" s="31">
        <v>10499.94</v>
      </c>
      <c r="M530" s="31">
        <v>68832.94</v>
      </c>
      <c r="N530" s="31">
        <v>583.33000000000004</v>
      </c>
      <c r="O530" s="31">
        <v>68249.61</v>
      </c>
      <c r="P530" s="9" t="s">
        <v>41</v>
      </c>
      <c r="Q530" s="12" t="s">
        <v>47</v>
      </c>
      <c r="T530" s="8">
        <f t="shared" si="11"/>
        <v>68832.94</v>
      </c>
    </row>
    <row r="531" spans="2:20" x14ac:dyDescent="0.35">
      <c r="B531" s="15">
        <v>529</v>
      </c>
      <c r="C531" s="45">
        <v>45992</v>
      </c>
      <c r="D531" s="10" t="s">
        <v>799</v>
      </c>
      <c r="E531" s="29">
        <v>46006</v>
      </c>
      <c r="F531" s="14">
        <v>45962</v>
      </c>
      <c r="G531" s="30" t="s">
        <v>857</v>
      </c>
      <c r="H531" s="7" t="s">
        <v>221</v>
      </c>
      <c r="I531" s="7" t="s">
        <v>225</v>
      </c>
      <c r="J531" s="10" t="s">
        <v>223</v>
      </c>
      <c r="K531" s="31">
        <v>53280</v>
      </c>
      <c r="L531" s="31">
        <v>9590.4</v>
      </c>
      <c r="M531" s="31">
        <v>62870.400000000001</v>
      </c>
      <c r="N531" s="31">
        <v>532.79999999999995</v>
      </c>
      <c r="O531" s="31">
        <v>62337.599999999999</v>
      </c>
      <c r="P531" s="9" t="s">
        <v>41</v>
      </c>
      <c r="Q531" s="12" t="s">
        <v>47</v>
      </c>
      <c r="T531" s="8">
        <f t="shared" si="11"/>
        <v>62870.400000000001</v>
      </c>
    </row>
    <row r="532" spans="2:20" x14ac:dyDescent="0.35">
      <c r="B532" s="15">
        <v>530</v>
      </c>
      <c r="C532" s="45">
        <v>45992</v>
      </c>
      <c r="D532" s="10" t="s">
        <v>799</v>
      </c>
      <c r="E532" s="29">
        <v>46006</v>
      </c>
      <c r="F532" s="14">
        <v>45962</v>
      </c>
      <c r="G532" s="30" t="s">
        <v>857</v>
      </c>
      <c r="H532" s="7" t="s">
        <v>221</v>
      </c>
      <c r="I532" s="7" t="s">
        <v>226</v>
      </c>
      <c r="J532" s="10" t="s">
        <v>223</v>
      </c>
      <c r="K532" s="31">
        <v>37888</v>
      </c>
      <c r="L532" s="31">
        <v>6819.84</v>
      </c>
      <c r="M532" s="31">
        <v>44707.839999999997</v>
      </c>
      <c r="N532" s="31">
        <v>378.88</v>
      </c>
      <c r="O532" s="31">
        <v>44328.959999999999</v>
      </c>
      <c r="P532" s="9" t="s">
        <v>41</v>
      </c>
      <c r="Q532" s="12" t="s">
        <v>47</v>
      </c>
      <c r="T532" s="8">
        <f t="shared" si="11"/>
        <v>44707.839999999997</v>
      </c>
    </row>
    <row r="533" spans="2:20" x14ac:dyDescent="0.35">
      <c r="B533" s="15">
        <v>531</v>
      </c>
      <c r="C533" s="45">
        <v>45992</v>
      </c>
      <c r="D533" s="10" t="s">
        <v>799</v>
      </c>
      <c r="E533" s="29">
        <v>46006</v>
      </c>
      <c r="F533" s="14">
        <v>45962</v>
      </c>
      <c r="G533" s="30" t="s">
        <v>857</v>
      </c>
      <c r="H533" s="7" t="s">
        <v>221</v>
      </c>
      <c r="I533" s="7" t="s">
        <v>227</v>
      </c>
      <c r="J533" s="10" t="s">
        <v>223</v>
      </c>
      <c r="K533" s="31">
        <v>31806</v>
      </c>
      <c r="L533" s="31">
        <v>5725.08</v>
      </c>
      <c r="M533" s="31">
        <v>37531.08</v>
      </c>
      <c r="N533" s="31">
        <v>318.06</v>
      </c>
      <c r="O533" s="31">
        <v>37213.020000000004</v>
      </c>
      <c r="P533" s="9" t="s">
        <v>41</v>
      </c>
      <c r="Q533" s="12" t="s">
        <v>47</v>
      </c>
      <c r="T533" s="8">
        <f t="shared" si="11"/>
        <v>37531.08</v>
      </c>
    </row>
    <row r="534" spans="2:20" x14ac:dyDescent="0.35">
      <c r="B534" s="15">
        <v>532</v>
      </c>
      <c r="C534" s="45">
        <v>45992</v>
      </c>
      <c r="D534" s="10" t="s">
        <v>799</v>
      </c>
      <c r="E534" s="29">
        <v>46006</v>
      </c>
      <c r="F534" s="14">
        <v>45962</v>
      </c>
      <c r="G534" s="30" t="s">
        <v>857</v>
      </c>
      <c r="H534" s="7" t="s">
        <v>221</v>
      </c>
      <c r="I534" s="7" t="s">
        <v>228</v>
      </c>
      <c r="J534" s="10" t="s">
        <v>229</v>
      </c>
      <c r="K534" s="31">
        <v>191112</v>
      </c>
      <c r="L534" s="31">
        <v>34400.159999999996</v>
      </c>
      <c r="M534" s="31">
        <v>225512.16</v>
      </c>
      <c r="N534" s="31">
        <v>1911.1200000000001</v>
      </c>
      <c r="O534" s="31">
        <v>223601.04</v>
      </c>
      <c r="P534" s="9" t="s">
        <v>41</v>
      </c>
      <c r="Q534" s="12" t="s">
        <v>93</v>
      </c>
      <c r="T534" s="8">
        <f t="shared" si="11"/>
        <v>225512.16</v>
      </c>
    </row>
    <row r="535" spans="2:20" x14ac:dyDescent="0.35">
      <c r="B535" s="15">
        <v>533</v>
      </c>
      <c r="C535" s="45">
        <v>45992</v>
      </c>
      <c r="D535" s="10" t="s">
        <v>799</v>
      </c>
      <c r="E535" s="29">
        <v>46006</v>
      </c>
      <c r="F535" s="14">
        <v>45962</v>
      </c>
      <c r="G535" s="30" t="s">
        <v>857</v>
      </c>
      <c r="H535" s="7" t="s">
        <v>221</v>
      </c>
      <c r="I535" s="7" t="s">
        <v>230</v>
      </c>
      <c r="J535" s="10" t="s">
        <v>231</v>
      </c>
      <c r="K535" s="31">
        <v>211271</v>
      </c>
      <c r="L535" s="31">
        <v>38028.78</v>
      </c>
      <c r="M535" s="31">
        <v>249299.78</v>
      </c>
      <c r="N535" s="31">
        <v>2112.71</v>
      </c>
      <c r="O535" s="31">
        <v>247187.07</v>
      </c>
      <c r="P535" s="9" t="s">
        <v>41</v>
      </c>
      <c r="Q535" s="12" t="s">
        <v>27</v>
      </c>
      <c r="T535" s="8">
        <f t="shared" si="11"/>
        <v>249299.78</v>
      </c>
    </row>
    <row r="536" spans="2:20" ht="28.5" x14ac:dyDescent="0.35">
      <c r="B536" s="15">
        <v>534</v>
      </c>
      <c r="C536" s="45">
        <v>45992</v>
      </c>
      <c r="D536" s="10" t="s">
        <v>799</v>
      </c>
      <c r="E536" s="29">
        <v>46006</v>
      </c>
      <c r="F536" s="14">
        <v>45962</v>
      </c>
      <c r="G536" s="30" t="s">
        <v>857</v>
      </c>
      <c r="H536" s="7" t="s">
        <v>221</v>
      </c>
      <c r="I536" s="7" t="s">
        <v>232</v>
      </c>
      <c r="J536" s="10" t="s">
        <v>233</v>
      </c>
      <c r="K536" s="31">
        <v>26100</v>
      </c>
      <c r="L536" s="31">
        <v>4698</v>
      </c>
      <c r="M536" s="31">
        <v>30798</v>
      </c>
      <c r="N536" s="31">
        <v>261</v>
      </c>
      <c r="O536" s="31">
        <v>30537</v>
      </c>
      <c r="P536" s="9" t="s">
        <v>41</v>
      </c>
      <c r="Q536" s="12" t="s">
        <v>20</v>
      </c>
      <c r="T536" s="8">
        <f t="shared" si="11"/>
        <v>30798</v>
      </c>
    </row>
    <row r="537" spans="2:20" ht="28.5" x14ac:dyDescent="0.35">
      <c r="B537" s="15">
        <v>535</v>
      </c>
      <c r="C537" s="45">
        <v>45992</v>
      </c>
      <c r="D537" s="10" t="s">
        <v>799</v>
      </c>
      <c r="E537" s="29">
        <v>46006</v>
      </c>
      <c r="F537" s="14">
        <v>45962</v>
      </c>
      <c r="G537" s="30" t="s">
        <v>857</v>
      </c>
      <c r="H537" s="7" t="s">
        <v>221</v>
      </c>
      <c r="I537" s="7" t="s">
        <v>234</v>
      </c>
      <c r="J537" s="10" t="s">
        <v>233</v>
      </c>
      <c r="K537" s="31">
        <v>29750</v>
      </c>
      <c r="L537" s="31">
        <v>5355</v>
      </c>
      <c r="M537" s="31">
        <v>35105</v>
      </c>
      <c r="N537" s="31">
        <v>297.5</v>
      </c>
      <c r="O537" s="31">
        <v>34807.5</v>
      </c>
      <c r="P537" s="9" t="s">
        <v>41</v>
      </c>
      <c r="Q537" s="12" t="s">
        <v>20</v>
      </c>
      <c r="T537" s="8">
        <f t="shared" si="11"/>
        <v>35105</v>
      </c>
    </row>
    <row r="538" spans="2:20" x14ac:dyDescent="0.35">
      <c r="B538" s="15">
        <v>536</v>
      </c>
      <c r="C538" s="45">
        <v>45992</v>
      </c>
      <c r="D538" s="10" t="s">
        <v>799</v>
      </c>
      <c r="E538" s="29">
        <v>46006</v>
      </c>
      <c r="F538" s="14">
        <v>45962</v>
      </c>
      <c r="G538" s="30" t="s">
        <v>857</v>
      </c>
      <c r="H538" s="7" t="s">
        <v>221</v>
      </c>
      <c r="I538" s="7" t="s">
        <v>235</v>
      </c>
      <c r="J538" s="10" t="s">
        <v>236</v>
      </c>
      <c r="K538" s="31">
        <v>26667</v>
      </c>
      <c r="L538" s="31">
        <v>4800.0599999999995</v>
      </c>
      <c r="M538" s="31">
        <v>31467.059999999998</v>
      </c>
      <c r="N538" s="31">
        <v>266.67</v>
      </c>
      <c r="O538" s="31">
        <v>31200.39</v>
      </c>
      <c r="P538" s="9" t="s">
        <v>41</v>
      </c>
      <c r="Q538" s="12" t="s">
        <v>67</v>
      </c>
      <c r="T538" s="8">
        <f t="shared" si="11"/>
        <v>31467.059999999998</v>
      </c>
    </row>
    <row r="539" spans="2:20" ht="28.5" x14ac:dyDescent="0.35">
      <c r="B539" s="15">
        <v>537</v>
      </c>
      <c r="C539" s="45">
        <v>45992</v>
      </c>
      <c r="D539" s="10" t="s">
        <v>799</v>
      </c>
      <c r="E539" s="29">
        <v>46006</v>
      </c>
      <c r="F539" s="14">
        <v>45962</v>
      </c>
      <c r="G539" s="30" t="s">
        <v>857</v>
      </c>
      <c r="H539" s="7" t="s">
        <v>221</v>
      </c>
      <c r="I539" s="7" t="s">
        <v>752</v>
      </c>
      <c r="J539" s="10" t="s">
        <v>233</v>
      </c>
      <c r="K539" s="31">
        <v>46000</v>
      </c>
      <c r="L539" s="31">
        <v>8280</v>
      </c>
      <c r="M539" s="31">
        <v>54280</v>
      </c>
      <c r="N539" s="31">
        <v>460</v>
      </c>
      <c r="O539" s="31">
        <v>53820</v>
      </c>
      <c r="P539" s="9" t="s">
        <v>41</v>
      </c>
      <c r="Q539" s="12" t="s">
        <v>20</v>
      </c>
      <c r="T539" s="8">
        <f t="shared" si="11"/>
        <v>54280</v>
      </c>
    </row>
    <row r="540" spans="2:20" x14ac:dyDescent="0.35">
      <c r="B540" s="15">
        <v>538</v>
      </c>
      <c r="C540" s="45">
        <v>45992</v>
      </c>
      <c r="D540" s="10" t="s">
        <v>799</v>
      </c>
      <c r="E540" s="29">
        <v>46006</v>
      </c>
      <c r="F540" s="14">
        <v>45962</v>
      </c>
      <c r="G540" s="30" t="s">
        <v>857</v>
      </c>
      <c r="H540" s="7" t="s">
        <v>221</v>
      </c>
      <c r="I540" s="7" t="s">
        <v>237</v>
      </c>
      <c r="J540" s="10" t="s">
        <v>236</v>
      </c>
      <c r="K540" s="31">
        <v>641583</v>
      </c>
      <c r="L540" s="31">
        <v>115484.94</v>
      </c>
      <c r="M540" s="31">
        <v>757067.94</v>
      </c>
      <c r="N540" s="31">
        <v>6415.83</v>
      </c>
      <c r="O540" s="31">
        <v>750652.11</v>
      </c>
      <c r="P540" s="9" t="s">
        <v>41</v>
      </c>
      <c r="Q540" s="12" t="s">
        <v>67</v>
      </c>
      <c r="T540" s="8">
        <f t="shared" si="11"/>
        <v>757067.94</v>
      </c>
    </row>
    <row r="541" spans="2:20" x14ac:dyDescent="0.35">
      <c r="B541" s="15">
        <v>539</v>
      </c>
      <c r="C541" s="45">
        <v>45992</v>
      </c>
      <c r="D541" s="10" t="s">
        <v>799</v>
      </c>
      <c r="E541" s="29">
        <v>46006</v>
      </c>
      <c r="F541" s="14">
        <v>45962</v>
      </c>
      <c r="G541" s="30" t="s">
        <v>857</v>
      </c>
      <c r="H541" s="7" t="s">
        <v>221</v>
      </c>
      <c r="I541" s="7" t="s">
        <v>238</v>
      </c>
      <c r="J541" s="10" t="s">
        <v>236</v>
      </c>
      <c r="K541" s="31">
        <v>20000</v>
      </c>
      <c r="L541" s="31">
        <v>3600</v>
      </c>
      <c r="M541" s="31">
        <v>23600</v>
      </c>
      <c r="N541" s="31">
        <v>200</v>
      </c>
      <c r="O541" s="31">
        <v>23400</v>
      </c>
      <c r="P541" s="9" t="s">
        <v>41</v>
      </c>
      <c r="Q541" s="12" t="s">
        <v>67</v>
      </c>
      <c r="T541" s="8">
        <f t="shared" si="11"/>
        <v>23600</v>
      </c>
    </row>
    <row r="542" spans="2:20" x14ac:dyDescent="0.35">
      <c r="B542" s="15">
        <v>540</v>
      </c>
      <c r="C542" s="45">
        <v>45992</v>
      </c>
      <c r="D542" s="10" t="s">
        <v>799</v>
      </c>
      <c r="E542" s="29">
        <v>46006</v>
      </c>
      <c r="F542" s="14">
        <v>45962</v>
      </c>
      <c r="G542" s="30" t="s">
        <v>857</v>
      </c>
      <c r="H542" s="7" t="s">
        <v>221</v>
      </c>
      <c r="I542" s="7" t="s">
        <v>239</v>
      </c>
      <c r="J542" s="10" t="s">
        <v>240</v>
      </c>
      <c r="K542" s="31">
        <v>19000</v>
      </c>
      <c r="L542" s="31">
        <v>3420</v>
      </c>
      <c r="M542" s="31">
        <v>22420</v>
      </c>
      <c r="N542" s="31">
        <v>190</v>
      </c>
      <c r="O542" s="31">
        <v>22230</v>
      </c>
      <c r="P542" s="9" t="s">
        <v>41</v>
      </c>
      <c r="Q542" s="12" t="s">
        <v>241</v>
      </c>
      <c r="T542" s="8">
        <f t="shared" si="11"/>
        <v>22420</v>
      </c>
    </row>
    <row r="543" spans="2:20" x14ac:dyDescent="0.35">
      <c r="B543" s="15">
        <v>541</v>
      </c>
      <c r="C543" s="45">
        <v>45992</v>
      </c>
      <c r="D543" s="10" t="s">
        <v>799</v>
      </c>
      <c r="E543" s="29">
        <v>46006</v>
      </c>
      <c r="F543" s="14">
        <v>45962</v>
      </c>
      <c r="G543" s="30" t="s">
        <v>857</v>
      </c>
      <c r="H543" s="7" t="s">
        <v>221</v>
      </c>
      <c r="I543" s="7" t="s">
        <v>242</v>
      </c>
      <c r="J543" s="10" t="s">
        <v>236</v>
      </c>
      <c r="K543" s="31">
        <v>36720</v>
      </c>
      <c r="L543" s="31">
        <v>6609.5999999999995</v>
      </c>
      <c r="M543" s="31">
        <v>43329.599999999999</v>
      </c>
      <c r="N543" s="31">
        <v>367.2</v>
      </c>
      <c r="O543" s="31">
        <v>42962.400000000001</v>
      </c>
      <c r="P543" s="9" t="s">
        <v>41</v>
      </c>
      <c r="Q543" s="12" t="s">
        <v>67</v>
      </c>
      <c r="T543" s="8">
        <f t="shared" si="11"/>
        <v>43329.599999999999</v>
      </c>
    </row>
    <row r="544" spans="2:20" x14ac:dyDescent="0.35">
      <c r="B544" s="15">
        <v>542</v>
      </c>
      <c r="C544" s="45">
        <v>45992</v>
      </c>
      <c r="D544" s="10" t="s">
        <v>799</v>
      </c>
      <c r="E544" s="29">
        <v>46006</v>
      </c>
      <c r="F544" s="14">
        <v>45962</v>
      </c>
      <c r="G544" s="30" t="s">
        <v>857</v>
      </c>
      <c r="H544" s="7" t="s">
        <v>221</v>
      </c>
      <c r="I544" s="7" t="s">
        <v>243</v>
      </c>
      <c r="J544" s="10" t="s">
        <v>223</v>
      </c>
      <c r="K544" s="31">
        <v>80000</v>
      </c>
      <c r="L544" s="31">
        <v>14400</v>
      </c>
      <c r="M544" s="31">
        <v>94400</v>
      </c>
      <c r="N544" s="31">
        <v>800</v>
      </c>
      <c r="O544" s="31">
        <v>109900</v>
      </c>
      <c r="P544" s="9" t="s">
        <v>41</v>
      </c>
      <c r="Q544" s="12" t="s">
        <v>47</v>
      </c>
      <c r="T544" s="8">
        <f t="shared" si="11"/>
        <v>110700</v>
      </c>
    </row>
    <row r="545" spans="2:20" x14ac:dyDescent="0.35">
      <c r="B545" s="15">
        <v>543</v>
      </c>
      <c r="C545" s="45">
        <v>45991</v>
      </c>
      <c r="D545" s="10" t="s">
        <v>800</v>
      </c>
      <c r="E545" s="29">
        <v>46001</v>
      </c>
      <c r="F545" s="14">
        <v>45962</v>
      </c>
      <c r="G545" s="30" t="s">
        <v>857</v>
      </c>
      <c r="H545" s="7" t="s">
        <v>608</v>
      </c>
      <c r="I545" s="7" t="s">
        <v>609</v>
      </c>
      <c r="J545" s="10" t="s">
        <v>694</v>
      </c>
      <c r="K545" s="31">
        <v>21000</v>
      </c>
      <c r="L545" s="31">
        <v>3780</v>
      </c>
      <c r="M545" s="31">
        <v>24780</v>
      </c>
      <c r="N545" s="31">
        <v>210</v>
      </c>
      <c r="O545" s="31">
        <v>24570</v>
      </c>
      <c r="P545" s="9" t="s">
        <v>41</v>
      </c>
      <c r="Q545" s="12" t="s">
        <v>241</v>
      </c>
      <c r="T545" s="8">
        <f t="shared" si="11"/>
        <v>24780</v>
      </c>
    </row>
    <row r="546" spans="2:20" x14ac:dyDescent="0.35">
      <c r="B546" s="15">
        <v>544</v>
      </c>
      <c r="C546" s="45">
        <v>45992</v>
      </c>
      <c r="D546" s="10" t="s">
        <v>801</v>
      </c>
      <c r="E546" s="29">
        <v>46001</v>
      </c>
      <c r="F546" s="14">
        <v>45962</v>
      </c>
      <c r="G546" s="30" t="s">
        <v>857</v>
      </c>
      <c r="H546" s="7" t="s">
        <v>64</v>
      </c>
      <c r="I546" s="7" t="s">
        <v>802</v>
      </c>
      <c r="J546" s="10" t="s">
        <v>66</v>
      </c>
      <c r="K546" s="31">
        <v>103000</v>
      </c>
      <c r="L546" s="31">
        <v>18540</v>
      </c>
      <c r="M546" s="31">
        <v>121540</v>
      </c>
      <c r="N546" s="31">
        <v>1030</v>
      </c>
      <c r="O546" s="31">
        <v>120510</v>
      </c>
      <c r="P546" s="9" t="s">
        <v>41</v>
      </c>
      <c r="Q546" s="12" t="s">
        <v>67</v>
      </c>
      <c r="T546" s="8">
        <f t="shared" si="11"/>
        <v>121540</v>
      </c>
    </row>
    <row r="547" spans="2:20" x14ac:dyDescent="0.35">
      <c r="B547" s="15">
        <v>545</v>
      </c>
      <c r="C547" s="45">
        <v>45993</v>
      </c>
      <c r="D547" s="10">
        <v>29</v>
      </c>
      <c r="E547" s="29">
        <v>46001</v>
      </c>
      <c r="F547" s="14">
        <v>45962</v>
      </c>
      <c r="G547" s="30" t="s">
        <v>857</v>
      </c>
      <c r="H547" s="7" t="s">
        <v>470</v>
      </c>
      <c r="I547" s="7" t="s">
        <v>803</v>
      </c>
      <c r="J547" s="10" t="s">
        <v>110</v>
      </c>
      <c r="K547" s="31">
        <v>89888</v>
      </c>
      <c r="L547" s="31">
        <v>16179.84</v>
      </c>
      <c r="M547" s="31">
        <v>106067.84</v>
      </c>
      <c r="N547" s="31">
        <v>8989</v>
      </c>
      <c r="O547" s="31">
        <v>97078.84</v>
      </c>
      <c r="P547" s="9" t="s">
        <v>41</v>
      </c>
      <c r="Q547" s="20" t="s">
        <v>858</v>
      </c>
      <c r="T547" s="8">
        <f t="shared" si="11"/>
        <v>106067.84</v>
      </c>
    </row>
    <row r="548" spans="2:20" x14ac:dyDescent="0.35">
      <c r="B548" s="15">
        <v>546</v>
      </c>
      <c r="C548" s="45">
        <v>45983</v>
      </c>
      <c r="D548" s="10" t="s">
        <v>804</v>
      </c>
      <c r="E548" s="29">
        <v>46001</v>
      </c>
      <c r="F548" s="14">
        <v>45992</v>
      </c>
      <c r="G548" s="30" t="s">
        <v>857</v>
      </c>
      <c r="H548" s="7" t="s">
        <v>747</v>
      </c>
      <c r="I548" s="7" t="s">
        <v>805</v>
      </c>
      <c r="J548" s="10" t="s">
        <v>749</v>
      </c>
      <c r="K548" s="31">
        <v>37000</v>
      </c>
      <c r="L548" s="31">
        <v>6660</v>
      </c>
      <c r="M548" s="31">
        <v>43660</v>
      </c>
      <c r="N548" s="31"/>
      <c r="O548" s="31">
        <v>6600</v>
      </c>
      <c r="P548" s="9" t="s">
        <v>26</v>
      </c>
      <c r="Q548" s="12" t="s">
        <v>241</v>
      </c>
      <c r="T548" s="8">
        <f t="shared" si="11"/>
        <v>6600</v>
      </c>
    </row>
    <row r="549" spans="2:20" ht="28.5" x14ac:dyDescent="0.35">
      <c r="B549" s="15">
        <v>547</v>
      </c>
      <c r="C549" s="45">
        <v>45992</v>
      </c>
      <c r="D549" s="10">
        <v>12</v>
      </c>
      <c r="E549" s="29">
        <v>46001</v>
      </c>
      <c r="F549" s="14">
        <v>45992</v>
      </c>
      <c r="G549" s="30" t="s">
        <v>857</v>
      </c>
      <c r="H549" s="7" t="s">
        <v>80</v>
      </c>
      <c r="I549" s="7" t="s">
        <v>806</v>
      </c>
      <c r="J549" s="10" t="s">
        <v>653</v>
      </c>
      <c r="K549" s="31">
        <v>505000</v>
      </c>
      <c r="L549" s="31">
        <v>90900</v>
      </c>
      <c r="M549" s="31">
        <v>595900</v>
      </c>
      <c r="N549" s="31">
        <v>10100</v>
      </c>
      <c r="O549" s="31">
        <v>338350</v>
      </c>
      <c r="P549" s="9" t="s">
        <v>19</v>
      </c>
      <c r="Q549" s="12" t="s">
        <v>27</v>
      </c>
      <c r="T549" s="8">
        <f t="shared" si="11"/>
        <v>348450</v>
      </c>
    </row>
    <row r="550" spans="2:20" x14ac:dyDescent="0.35">
      <c r="B550" s="15">
        <v>548</v>
      </c>
      <c r="C550" s="45">
        <v>45993</v>
      </c>
      <c r="D550" s="10">
        <v>3589</v>
      </c>
      <c r="E550" s="29">
        <v>46001</v>
      </c>
      <c r="F550" s="14">
        <v>45962</v>
      </c>
      <c r="G550" s="30" t="s">
        <v>857</v>
      </c>
      <c r="H550" s="7" t="s">
        <v>83</v>
      </c>
      <c r="I550" s="7" t="s">
        <v>807</v>
      </c>
      <c r="J550" s="10" t="s">
        <v>85</v>
      </c>
      <c r="K550" s="31">
        <v>361056.3</v>
      </c>
      <c r="L550" s="31">
        <v>64990.133999999998</v>
      </c>
      <c r="M550" s="31">
        <v>426046.43400000001</v>
      </c>
      <c r="N550" s="31">
        <v>14368</v>
      </c>
      <c r="O550" s="31">
        <v>411678.43400000001</v>
      </c>
      <c r="P550" s="9" t="s">
        <v>41</v>
      </c>
      <c r="Q550" s="12" t="s">
        <v>27</v>
      </c>
      <c r="T550" s="8">
        <f t="shared" si="11"/>
        <v>426046.43400000001</v>
      </c>
    </row>
    <row r="551" spans="2:20" x14ac:dyDescent="0.35">
      <c r="B551" s="15">
        <v>549</v>
      </c>
      <c r="C551" s="45">
        <v>45992</v>
      </c>
      <c r="D551" s="10" t="s">
        <v>808</v>
      </c>
      <c r="E551" s="29">
        <v>46001</v>
      </c>
      <c r="F551" s="14">
        <v>45962</v>
      </c>
      <c r="G551" s="30" t="s">
        <v>857</v>
      </c>
      <c r="H551" s="7" t="s">
        <v>352</v>
      </c>
      <c r="I551" s="7" t="s">
        <v>353</v>
      </c>
      <c r="J551" s="10" t="s">
        <v>40</v>
      </c>
      <c r="K551" s="31">
        <v>8980</v>
      </c>
      <c r="L551" s="31">
        <v>1616.3999999999999</v>
      </c>
      <c r="M551" s="31">
        <v>10596.4</v>
      </c>
      <c r="N551" s="31">
        <v>90</v>
      </c>
      <c r="O551" s="31">
        <v>10506.4</v>
      </c>
      <c r="P551" s="9" t="s">
        <v>41</v>
      </c>
      <c r="Q551" s="12" t="s">
        <v>27</v>
      </c>
      <c r="T551" s="8">
        <f t="shared" si="11"/>
        <v>10596.4</v>
      </c>
    </row>
    <row r="552" spans="2:20" x14ac:dyDescent="0.35">
      <c r="B552" s="15">
        <v>550</v>
      </c>
      <c r="C552" s="45">
        <v>45992</v>
      </c>
      <c r="D552" s="10">
        <v>1</v>
      </c>
      <c r="E552" s="29">
        <v>46001</v>
      </c>
      <c r="F552" s="14">
        <v>45992</v>
      </c>
      <c r="G552" s="30" t="s">
        <v>857</v>
      </c>
      <c r="H552" s="7" t="s">
        <v>406</v>
      </c>
      <c r="I552" s="7" t="s">
        <v>809</v>
      </c>
      <c r="J552" s="10" t="s">
        <v>408</v>
      </c>
      <c r="K552" s="31">
        <v>3600</v>
      </c>
      <c r="L552" s="31">
        <v>648</v>
      </c>
      <c r="M552" s="31">
        <v>4248</v>
      </c>
      <c r="N552" s="31"/>
      <c r="O552" s="31">
        <v>4248</v>
      </c>
      <c r="P552" s="9" t="s">
        <v>26</v>
      </c>
      <c r="Q552" s="12" t="s">
        <v>31</v>
      </c>
      <c r="T552" s="8">
        <f t="shared" si="11"/>
        <v>4248</v>
      </c>
    </row>
    <row r="553" spans="2:20" x14ac:dyDescent="0.35">
      <c r="B553" s="15">
        <v>551</v>
      </c>
      <c r="C553" s="45">
        <v>45992</v>
      </c>
      <c r="D553" s="10">
        <v>15</v>
      </c>
      <c r="E553" s="29">
        <v>46001</v>
      </c>
      <c r="F553" s="14">
        <v>45992</v>
      </c>
      <c r="G553" s="30" t="s">
        <v>857</v>
      </c>
      <c r="H553" s="7" t="s">
        <v>28</v>
      </c>
      <c r="I553" s="7" t="s">
        <v>754</v>
      </c>
      <c r="J553" s="10" t="s">
        <v>755</v>
      </c>
      <c r="K553" s="31">
        <v>21244</v>
      </c>
      <c r="L553" s="31">
        <v>3823.92</v>
      </c>
      <c r="M553" s="31">
        <v>25067.919999999998</v>
      </c>
      <c r="N553" s="31"/>
      <c r="O553" s="31">
        <v>3824</v>
      </c>
      <c r="P553" s="9" t="s">
        <v>26</v>
      </c>
      <c r="Q553" s="12" t="s">
        <v>27</v>
      </c>
      <c r="T553" s="8">
        <f t="shared" si="11"/>
        <v>3824</v>
      </c>
    </row>
    <row r="554" spans="2:20" x14ac:dyDescent="0.35">
      <c r="B554" s="15">
        <v>552</v>
      </c>
      <c r="C554" s="45">
        <v>45992</v>
      </c>
      <c r="D554" s="10">
        <v>14</v>
      </c>
      <c r="E554" s="29">
        <v>46001</v>
      </c>
      <c r="F554" s="14">
        <v>45992</v>
      </c>
      <c r="G554" s="30" t="s">
        <v>857</v>
      </c>
      <c r="H554" s="7" t="s">
        <v>28</v>
      </c>
      <c r="I554" s="7" t="s">
        <v>756</v>
      </c>
      <c r="J554" s="10" t="s">
        <v>755</v>
      </c>
      <c r="K554" s="31">
        <v>6480</v>
      </c>
      <c r="L554" s="31">
        <v>1166.4000000000001</v>
      </c>
      <c r="M554" s="31">
        <v>7646.4</v>
      </c>
      <c r="N554" s="31"/>
      <c r="O554" s="31">
        <v>1166</v>
      </c>
      <c r="P554" s="9" t="s">
        <v>26</v>
      </c>
      <c r="Q554" s="12" t="s">
        <v>27</v>
      </c>
      <c r="T554" s="8">
        <f t="shared" si="11"/>
        <v>1166</v>
      </c>
    </row>
    <row r="555" spans="2:20" x14ac:dyDescent="0.35">
      <c r="B555" s="15">
        <v>553</v>
      </c>
      <c r="C555" s="45">
        <v>45996</v>
      </c>
      <c r="D555" s="10">
        <v>1</v>
      </c>
      <c r="E555" s="29">
        <v>46007</v>
      </c>
      <c r="F555" s="14">
        <v>45992</v>
      </c>
      <c r="G555" s="30" t="s">
        <v>857</v>
      </c>
      <c r="H555" s="7" t="s">
        <v>810</v>
      </c>
      <c r="I555" s="7" t="s">
        <v>811</v>
      </c>
      <c r="J555" s="10" t="s">
        <v>812</v>
      </c>
      <c r="K555" s="31">
        <v>35500</v>
      </c>
      <c r="L555" s="31"/>
      <c r="M555" s="31">
        <v>35500</v>
      </c>
      <c r="N555" s="31"/>
      <c r="O555" s="31">
        <v>35500</v>
      </c>
      <c r="P555" s="9" t="s">
        <v>26</v>
      </c>
      <c r="Q555" s="20" t="s">
        <v>155</v>
      </c>
      <c r="T555" s="8">
        <f t="shared" si="11"/>
        <v>35500</v>
      </c>
    </row>
    <row r="556" spans="2:20" ht="18.649999999999999" customHeight="1" x14ac:dyDescent="0.35">
      <c r="B556" s="15">
        <v>554</v>
      </c>
      <c r="C556" s="45">
        <v>46003</v>
      </c>
      <c r="D556" s="10">
        <v>1</v>
      </c>
      <c r="E556" s="29">
        <v>46007</v>
      </c>
      <c r="F556" s="14">
        <v>45992</v>
      </c>
      <c r="G556" s="30" t="s">
        <v>857</v>
      </c>
      <c r="H556" s="7" t="s">
        <v>770</v>
      </c>
      <c r="I556" s="7" t="s">
        <v>813</v>
      </c>
      <c r="J556" s="10" t="s">
        <v>772</v>
      </c>
      <c r="K556" s="31">
        <v>36000</v>
      </c>
      <c r="L556" s="31">
        <v>6480</v>
      </c>
      <c r="M556" s="31">
        <v>42480</v>
      </c>
      <c r="N556" s="31"/>
      <c r="O556" s="31">
        <v>24480</v>
      </c>
      <c r="P556" s="9" t="s">
        <v>26</v>
      </c>
      <c r="Q556" s="12" t="s">
        <v>20</v>
      </c>
      <c r="T556" s="8">
        <f t="shared" si="11"/>
        <v>24480</v>
      </c>
    </row>
    <row r="557" spans="2:20" ht="16.25" customHeight="1" x14ac:dyDescent="0.35">
      <c r="B557" s="15">
        <v>555</v>
      </c>
      <c r="C557" s="45">
        <v>46003</v>
      </c>
      <c r="D557" s="10">
        <v>2</v>
      </c>
      <c r="E557" s="29">
        <v>46007</v>
      </c>
      <c r="F557" s="14">
        <v>45992</v>
      </c>
      <c r="G557" s="30" t="s">
        <v>857</v>
      </c>
      <c r="H557" s="7" t="s">
        <v>770</v>
      </c>
      <c r="I557" s="7" t="s">
        <v>814</v>
      </c>
      <c r="J557" s="10" t="s">
        <v>772</v>
      </c>
      <c r="K557" s="31">
        <v>41850</v>
      </c>
      <c r="L557" s="31">
        <v>7533</v>
      </c>
      <c r="M557" s="31">
        <v>49383</v>
      </c>
      <c r="N557" s="31"/>
      <c r="O557" s="31">
        <v>28458</v>
      </c>
      <c r="P557" s="9" t="s">
        <v>26</v>
      </c>
      <c r="Q557" s="12" t="s">
        <v>20</v>
      </c>
      <c r="T557" s="8">
        <f t="shared" si="11"/>
        <v>28458</v>
      </c>
    </row>
    <row r="558" spans="2:20" ht="21.65" customHeight="1" x14ac:dyDescent="0.35">
      <c r="B558" s="15">
        <v>556</v>
      </c>
      <c r="C558" s="45">
        <v>46003</v>
      </c>
      <c r="D558" s="10">
        <v>3</v>
      </c>
      <c r="E558" s="29">
        <v>46007</v>
      </c>
      <c r="F558" s="32">
        <v>45992</v>
      </c>
      <c r="G558" s="30" t="s">
        <v>857</v>
      </c>
      <c r="H558" s="7" t="s">
        <v>770</v>
      </c>
      <c r="I558" s="7" t="s">
        <v>815</v>
      </c>
      <c r="J558" s="10" t="s">
        <v>772</v>
      </c>
      <c r="K558" s="31">
        <v>32150</v>
      </c>
      <c r="L558" s="31">
        <v>5787</v>
      </c>
      <c r="M558" s="31">
        <v>37937</v>
      </c>
      <c r="N558" s="31"/>
      <c r="O558" s="31">
        <v>21862</v>
      </c>
      <c r="P558" s="9" t="s">
        <v>26</v>
      </c>
      <c r="Q558" s="12" t="s">
        <v>20</v>
      </c>
      <c r="T558" s="8">
        <f t="shared" si="11"/>
        <v>21862</v>
      </c>
    </row>
    <row r="559" spans="2:20" x14ac:dyDescent="0.35">
      <c r="B559" s="15">
        <v>557</v>
      </c>
      <c r="C559" s="45">
        <v>45782</v>
      </c>
      <c r="D559" s="10" t="s">
        <v>816</v>
      </c>
      <c r="E559" s="29">
        <v>46007</v>
      </c>
      <c r="F559" s="14">
        <v>45748</v>
      </c>
      <c r="G559" s="30" t="s">
        <v>857</v>
      </c>
      <c r="H559" s="7" t="s">
        <v>221</v>
      </c>
      <c r="I559" s="7" t="s">
        <v>817</v>
      </c>
      <c r="J559" s="10" t="s">
        <v>223</v>
      </c>
      <c r="K559" s="31">
        <v>1423729</v>
      </c>
      <c r="L559" s="31">
        <v>256271.22</v>
      </c>
      <c r="M559" s="31">
        <v>1680000.22</v>
      </c>
      <c r="N559" s="31"/>
      <c r="O559" s="31">
        <v>98441</v>
      </c>
      <c r="P559" s="9" t="s">
        <v>41</v>
      </c>
      <c r="Q559" s="12" t="s">
        <v>47</v>
      </c>
      <c r="T559" s="8">
        <f t="shared" si="11"/>
        <v>98441</v>
      </c>
    </row>
    <row r="560" spans="2:20" x14ac:dyDescent="0.35">
      <c r="B560" s="15">
        <v>558</v>
      </c>
      <c r="C560" s="45">
        <v>45999</v>
      </c>
      <c r="D560" s="10" t="s">
        <v>818</v>
      </c>
      <c r="E560" s="29">
        <v>46007</v>
      </c>
      <c r="F560" s="14">
        <v>45992</v>
      </c>
      <c r="G560" s="30" t="s">
        <v>857</v>
      </c>
      <c r="H560" s="7" t="s">
        <v>819</v>
      </c>
      <c r="I560" s="7" t="s">
        <v>820</v>
      </c>
      <c r="J560" s="10" t="s">
        <v>821</v>
      </c>
      <c r="K560" s="31">
        <v>20000</v>
      </c>
      <c r="L560" s="31">
        <v>3600</v>
      </c>
      <c r="M560" s="31">
        <v>23600</v>
      </c>
      <c r="N560" s="31">
        <v>2000</v>
      </c>
      <c r="O560" s="31">
        <v>21600</v>
      </c>
      <c r="P560" s="9" t="s">
        <v>26</v>
      </c>
      <c r="Q560" s="12" t="s">
        <v>47</v>
      </c>
      <c r="T560" s="8">
        <f t="shared" si="11"/>
        <v>23600</v>
      </c>
    </row>
    <row r="561" spans="2:20" x14ac:dyDescent="0.35">
      <c r="B561" s="15">
        <v>559</v>
      </c>
      <c r="C561" s="45">
        <v>45996</v>
      </c>
      <c r="D561" s="10">
        <v>44</v>
      </c>
      <c r="E561" s="29">
        <v>46007</v>
      </c>
      <c r="F561" s="14">
        <v>45962</v>
      </c>
      <c r="G561" s="30" t="s">
        <v>857</v>
      </c>
      <c r="H561" s="7" t="s">
        <v>152</v>
      </c>
      <c r="I561" s="7" t="s">
        <v>822</v>
      </c>
      <c r="J561" s="18" t="s">
        <v>154</v>
      </c>
      <c r="K561" s="31">
        <v>459992</v>
      </c>
      <c r="L561" s="31">
        <v>82798.559999999998</v>
      </c>
      <c r="M561" s="31">
        <v>542790.56000000006</v>
      </c>
      <c r="N561" s="31">
        <v>4599.92</v>
      </c>
      <c r="O561" s="31">
        <v>538190.64</v>
      </c>
      <c r="P561" s="9" t="s">
        <v>41</v>
      </c>
      <c r="Q561" s="20" t="s">
        <v>155</v>
      </c>
      <c r="T561" s="8">
        <f t="shared" si="11"/>
        <v>542790.56000000006</v>
      </c>
    </row>
    <row r="562" spans="2:20" x14ac:dyDescent="0.35">
      <c r="B562" s="15">
        <v>560</v>
      </c>
      <c r="C562" s="45">
        <v>45992</v>
      </c>
      <c r="D562" s="10" t="s">
        <v>823</v>
      </c>
      <c r="E562" s="29">
        <v>46007</v>
      </c>
      <c r="F562" s="14">
        <v>45962</v>
      </c>
      <c r="G562" s="30" t="s">
        <v>857</v>
      </c>
      <c r="H562" s="7" t="s">
        <v>49</v>
      </c>
      <c r="I562" s="7" t="s">
        <v>824</v>
      </c>
      <c r="J562" s="10" t="s">
        <v>51</v>
      </c>
      <c r="K562" s="31">
        <v>7500</v>
      </c>
      <c r="L562" s="31">
        <v>1350</v>
      </c>
      <c r="M562" s="31">
        <v>8850</v>
      </c>
      <c r="N562" s="31">
        <v>75</v>
      </c>
      <c r="O562" s="31">
        <v>8775</v>
      </c>
      <c r="P562" s="9" t="s">
        <v>41</v>
      </c>
      <c r="Q562" s="12" t="s">
        <v>31</v>
      </c>
      <c r="T562" s="8">
        <f t="shared" si="11"/>
        <v>8850</v>
      </c>
    </row>
    <row r="563" spans="2:20" x14ac:dyDescent="0.35">
      <c r="B563" s="15">
        <v>561</v>
      </c>
      <c r="C563" s="45">
        <v>45916</v>
      </c>
      <c r="D563" s="10" t="s">
        <v>548</v>
      </c>
      <c r="E563" s="29">
        <v>46007</v>
      </c>
      <c r="F563" s="14">
        <v>45992</v>
      </c>
      <c r="G563" s="30" t="s">
        <v>857</v>
      </c>
      <c r="H563" s="7" t="s">
        <v>654</v>
      </c>
      <c r="I563" s="7" t="s">
        <v>825</v>
      </c>
      <c r="J563" s="10" t="s">
        <v>656</v>
      </c>
      <c r="K563" s="31">
        <v>289200</v>
      </c>
      <c r="L563" s="31">
        <v>52056</v>
      </c>
      <c r="M563" s="31">
        <v>341256</v>
      </c>
      <c r="N563" s="31"/>
      <c r="O563" s="31">
        <v>100000</v>
      </c>
      <c r="P563" s="9" t="s">
        <v>19</v>
      </c>
      <c r="Q563" s="12" t="s">
        <v>241</v>
      </c>
      <c r="T563" s="8">
        <f t="shared" si="11"/>
        <v>100000</v>
      </c>
    </row>
    <row r="564" spans="2:20" x14ac:dyDescent="0.35">
      <c r="B564" s="15">
        <v>562</v>
      </c>
      <c r="C564" s="45">
        <v>46003</v>
      </c>
      <c r="D564" s="10">
        <v>1</v>
      </c>
      <c r="E564" s="29">
        <v>46007</v>
      </c>
      <c r="F564" s="14">
        <v>45992</v>
      </c>
      <c r="G564" s="30" t="s">
        <v>857</v>
      </c>
      <c r="H564" s="7" t="s">
        <v>826</v>
      </c>
      <c r="I564" s="7" t="s">
        <v>827</v>
      </c>
      <c r="J564" s="10" t="s">
        <v>617</v>
      </c>
      <c r="K564" s="31">
        <v>54000</v>
      </c>
      <c r="L564" s="31"/>
      <c r="M564" s="31"/>
      <c r="N564" s="31"/>
      <c r="O564" s="31">
        <v>54000</v>
      </c>
      <c r="P564" s="9" t="s">
        <v>26</v>
      </c>
      <c r="Q564" s="20" t="s">
        <v>155</v>
      </c>
      <c r="T564" s="8">
        <f t="shared" si="11"/>
        <v>54000</v>
      </c>
    </row>
    <row r="565" spans="2:20" x14ac:dyDescent="0.35">
      <c r="B565" s="15">
        <v>563</v>
      </c>
      <c r="C565" s="45">
        <v>45953</v>
      </c>
      <c r="D565" s="10" t="s">
        <v>828</v>
      </c>
      <c r="E565" s="29">
        <v>46007</v>
      </c>
      <c r="F565" s="14">
        <v>45992</v>
      </c>
      <c r="G565" s="30" t="s">
        <v>857</v>
      </c>
      <c r="H565" s="7" t="s">
        <v>49</v>
      </c>
      <c r="I565" s="7" t="s">
        <v>829</v>
      </c>
      <c r="J565" s="10" t="s">
        <v>361</v>
      </c>
      <c r="K565" s="31">
        <v>13725</v>
      </c>
      <c r="L565" s="31">
        <v>2470.5</v>
      </c>
      <c r="M565" s="31">
        <v>16195.5</v>
      </c>
      <c r="N565" s="31"/>
      <c r="O565" s="31">
        <v>16195.5</v>
      </c>
      <c r="P565" s="9" t="s">
        <v>26</v>
      </c>
      <c r="Q565" s="12" t="s">
        <v>31</v>
      </c>
      <c r="T565" s="8">
        <f t="shared" si="11"/>
        <v>16195.5</v>
      </c>
    </row>
    <row r="566" spans="2:20" ht="17.399999999999999" customHeight="1" x14ac:dyDescent="0.35">
      <c r="B566" s="15">
        <v>564</v>
      </c>
      <c r="C566" s="45">
        <v>46003</v>
      </c>
      <c r="D566" s="10">
        <v>1</v>
      </c>
      <c r="E566" s="29">
        <v>46008</v>
      </c>
      <c r="F566" s="32">
        <v>45992</v>
      </c>
      <c r="G566" s="30" t="s">
        <v>857</v>
      </c>
      <c r="H566" s="7" t="s">
        <v>659</v>
      </c>
      <c r="I566" s="7" t="s">
        <v>830</v>
      </c>
      <c r="J566" s="10" t="s">
        <v>660</v>
      </c>
      <c r="K566" s="31">
        <v>12620</v>
      </c>
      <c r="L566" s="31"/>
      <c r="M566" s="31">
        <v>12620</v>
      </c>
      <c r="N566" s="31"/>
      <c r="O566" s="31">
        <v>12620</v>
      </c>
      <c r="P566" s="9" t="s">
        <v>26</v>
      </c>
      <c r="Q566" s="12" t="s">
        <v>27</v>
      </c>
      <c r="T566" s="8">
        <f t="shared" si="11"/>
        <v>12620</v>
      </c>
    </row>
    <row r="567" spans="2:20" x14ac:dyDescent="0.35">
      <c r="B567" s="15">
        <v>565</v>
      </c>
      <c r="C567" s="45">
        <v>46001</v>
      </c>
      <c r="D567" s="10" t="s">
        <v>22</v>
      </c>
      <c r="E567" s="29">
        <v>46008</v>
      </c>
      <c r="F567" s="14">
        <v>45992</v>
      </c>
      <c r="G567" s="30" t="s">
        <v>857</v>
      </c>
      <c r="H567" s="7" t="s">
        <v>831</v>
      </c>
      <c r="I567" s="7" t="s">
        <v>832</v>
      </c>
      <c r="J567" s="10" t="s">
        <v>281</v>
      </c>
      <c r="K567" s="31">
        <v>45169.49</v>
      </c>
      <c r="L567" s="31">
        <v>8130.5081999999993</v>
      </c>
      <c r="M567" s="31">
        <v>53299.998199999995</v>
      </c>
      <c r="N567" s="31"/>
      <c r="O567" s="31">
        <v>22584.744999999999</v>
      </c>
      <c r="P567" s="9" t="s">
        <v>19</v>
      </c>
      <c r="Q567" s="12" t="s">
        <v>93</v>
      </c>
      <c r="T567" s="8">
        <f t="shared" si="11"/>
        <v>22584.744999999999</v>
      </c>
    </row>
    <row r="568" spans="2:20" x14ac:dyDescent="0.35">
      <c r="B568" s="15">
        <v>566</v>
      </c>
      <c r="C568" s="45">
        <v>46006</v>
      </c>
      <c r="D568" s="10" t="s">
        <v>22</v>
      </c>
      <c r="E568" s="29">
        <v>46008</v>
      </c>
      <c r="F568" s="14">
        <v>45992</v>
      </c>
      <c r="G568" s="30" t="s">
        <v>857</v>
      </c>
      <c r="H568" s="7" t="s">
        <v>831</v>
      </c>
      <c r="I568" s="7" t="s">
        <v>832</v>
      </c>
      <c r="J568" s="10" t="s">
        <v>281</v>
      </c>
      <c r="K568" s="31">
        <v>40949.15</v>
      </c>
      <c r="L568" s="31">
        <v>7370.8469999999998</v>
      </c>
      <c r="M568" s="31">
        <v>48319.997000000003</v>
      </c>
      <c r="N568" s="31"/>
      <c r="O568" s="31">
        <v>20474.575000000001</v>
      </c>
      <c r="P568" s="9" t="s">
        <v>19</v>
      </c>
      <c r="Q568" s="12" t="s">
        <v>93</v>
      </c>
      <c r="T568" s="8">
        <f t="shared" si="11"/>
        <v>20474.575000000001</v>
      </c>
    </row>
    <row r="569" spans="2:20" x14ac:dyDescent="0.35">
      <c r="B569" s="15">
        <v>567</v>
      </c>
      <c r="C569" s="45">
        <v>45962</v>
      </c>
      <c r="D569" s="10">
        <v>945</v>
      </c>
      <c r="E569" s="29">
        <v>46011</v>
      </c>
      <c r="F569" s="14">
        <v>45992</v>
      </c>
      <c r="G569" s="30" t="s">
        <v>857</v>
      </c>
      <c r="H569" s="7" t="s">
        <v>833</v>
      </c>
      <c r="I569" s="7" t="s">
        <v>834</v>
      </c>
      <c r="J569" s="10" t="s">
        <v>835</v>
      </c>
      <c r="K569" s="31">
        <v>3915</v>
      </c>
      <c r="L569" s="31"/>
      <c r="M569" s="31">
        <v>3915</v>
      </c>
      <c r="N569" s="31"/>
      <c r="O569" s="31">
        <v>3915</v>
      </c>
      <c r="P569" s="9" t="s">
        <v>26</v>
      </c>
      <c r="Q569" s="12" t="s">
        <v>31</v>
      </c>
      <c r="T569" s="8">
        <f t="shared" si="11"/>
        <v>3915</v>
      </c>
    </row>
    <row r="570" spans="2:20" x14ac:dyDescent="0.35">
      <c r="B570" s="15">
        <v>568</v>
      </c>
      <c r="C570" s="45">
        <v>46000</v>
      </c>
      <c r="D570" s="10" t="s">
        <v>22</v>
      </c>
      <c r="E570" s="29">
        <v>46011</v>
      </c>
      <c r="F570" s="14">
        <v>45992</v>
      </c>
      <c r="G570" s="30" t="s">
        <v>857</v>
      </c>
      <c r="H570" s="7" t="s">
        <v>836</v>
      </c>
      <c r="I570" s="7" t="s">
        <v>837</v>
      </c>
      <c r="J570" s="10" t="s">
        <v>838</v>
      </c>
      <c r="K570" s="31">
        <v>19067.849999999999</v>
      </c>
      <c r="L570" s="31">
        <v>3432.2129999999997</v>
      </c>
      <c r="M570" s="31">
        <v>22500.062999999998</v>
      </c>
      <c r="N570" s="31"/>
      <c r="O570" s="31">
        <v>19067.849999999999</v>
      </c>
      <c r="P570" s="9" t="s">
        <v>26</v>
      </c>
      <c r="Q570" s="12" t="s">
        <v>241</v>
      </c>
      <c r="T570" s="8">
        <f t="shared" si="11"/>
        <v>19067.849999999999</v>
      </c>
    </row>
    <row r="571" spans="2:20" x14ac:dyDescent="0.35">
      <c r="B571" s="15">
        <v>569</v>
      </c>
      <c r="C571" s="45">
        <v>46008</v>
      </c>
      <c r="D571" s="10">
        <v>1</v>
      </c>
      <c r="E571" s="29">
        <v>46011</v>
      </c>
      <c r="F571" s="14">
        <v>45992</v>
      </c>
      <c r="G571" s="30" t="s">
        <v>857</v>
      </c>
      <c r="H571" s="7" t="s">
        <v>120</v>
      </c>
      <c r="I571" s="7" t="s">
        <v>839</v>
      </c>
      <c r="J571" s="10" t="s">
        <v>122</v>
      </c>
      <c r="K571" s="31">
        <v>1050</v>
      </c>
      <c r="L571" s="31"/>
      <c r="M571" s="31">
        <v>1050</v>
      </c>
      <c r="N571" s="31"/>
      <c r="O571" s="31">
        <v>1050</v>
      </c>
      <c r="P571" s="9" t="s">
        <v>26</v>
      </c>
      <c r="Q571" s="12" t="s">
        <v>20</v>
      </c>
      <c r="T571" s="8">
        <f t="shared" si="11"/>
        <v>1050</v>
      </c>
    </row>
    <row r="572" spans="2:20" x14ac:dyDescent="0.35">
      <c r="B572" s="15">
        <v>570</v>
      </c>
      <c r="C572" s="45">
        <v>46000</v>
      </c>
      <c r="D572" s="10" t="s">
        <v>840</v>
      </c>
      <c r="E572" s="29">
        <v>46014</v>
      </c>
      <c r="F572" s="14">
        <v>45992</v>
      </c>
      <c r="G572" s="30" t="s">
        <v>857</v>
      </c>
      <c r="H572" s="7" t="s">
        <v>654</v>
      </c>
      <c r="I572" s="7" t="s">
        <v>841</v>
      </c>
      <c r="J572" s="10" t="s">
        <v>656</v>
      </c>
      <c r="K572" s="31">
        <v>289200</v>
      </c>
      <c r="L572" s="31">
        <v>52056</v>
      </c>
      <c r="M572" s="31">
        <v>341256</v>
      </c>
      <c r="N572" s="31"/>
      <c r="O572" s="31">
        <v>135472</v>
      </c>
      <c r="P572" s="9" t="s">
        <v>19</v>
      </c>
      <c r="Q572" s="12" t="s">
        <v>241</v>
      </c>
      <c r="T572" s="8">
        <f t="shared" si="11"/>
        <v>135472</v>
      </c>
    </row>
    <row r="573" spans="2:20" x14ac:dyDescent="0.35">
      <c r="B573" s="15">
        <v>571</v>
      </c>
      <c r="C573" s="45">
        <v>45991</v>
      </c>
      <c r="D573" s="10">
        <v>1003</v>
      </c>
      <c r="E573" s="29">
        <v>46015</v>
      </c>
      <c r="F573" s="14">
        <v>45992</v>
      </c>
      <c r="G573" s="30" t="s">
        <v>857</v>
      </c>
      <c r="H573" s="7" t="s">
        <v>833</v>
      </c>
      <c r="I573" s="7" t="s">
        <v>842</v>
      </c>
      <c r="J573" s="10" t="s">
        <v>835</v>
      </c>
      <c r="K573" s="31">
        <v>4350</v>
      </c>
      <c r="L573" s="31"/>
      <c r="M573" s="31">
        <v>4350</v>
      </c>
      <c r="N573" s="31"/>
      <c r="O573" s="31">
        <v>4350</v>
      </c>
      <c r="P573" s="9" t="s">
        <v>26</v>
      </c>
      <c r="Q573" s="12" t="s">
        <v>31</v>
      </c>
      <c r="T573" s="8">
        <f t="shared" si="11"/>
        <v>4350</v>
      </c>
    </row>
    <row r="574" spans="2:20" x14ac:dyDescent="0.35">
      <c r="B574" s="15">
        <v>572</v>
      </c>
      <c r="C574" s="45">
        <v>46010</v>
      </c>
      <c r="D574" s="10" t="s">
        <v>843</v>
      </c>
      <c r="E574" s="29">
        <v>46015</v>
      </c>
      <c r="F574" s="14">
        <v>45992</v>
      </c>
      <c r="G574" s="30" t="s">
        <v>857</v>
      </c>
      <c r="H574" s="7" t="s">
        <v>49</v>
      </c>
      <c r="I574" s="7" t="s">
        <v>844</v>
      </c>
      <c r="J574" s="10" t="s">
        <v>361</v>
      </c>
      <c r="K574" s="31">
        <v>7900</v>
      </c>
      <c r="L574" s="31">
        <v>1422</v>
      </c>
      <c r="M574" s="31">
        <v>9322</v>
      </c>
      <c r="N574" s="31"/>
      <c r="O574" s="31">
        <v>9322</v>
      </c>
      <c r="P574" s="9" t="s">
        <v>26</v>
      </c>
      <c r="Q574" s="12" t="s">
        <v>31</v>
      </c>
      <c r="T574" s="8">
        <f t="shared" si="11"/>
        <v>9322</v>
      </c>
    </row>
    <row r="575" spans="2:20" x14ac:dyDescent="0.35">
      <c r="B575" s="15">
        <v>573</v>
      </c>
      <c r="C575" s="45">
        <v>46006</v>
      </c>
      <c r="D575" s="10">
        <v>4016</v>
      </c>
      <c r="E575" s="29">
        <v>46015</v>
      </c>
      <c r="F575" s="14">
        <v>45992</v>
      </c>
      <c r="G575" s="30" t="s">
        <v>857</v>
      </c>
      <c r="H575" s="7" t="s">
        <v>380</v>
      </c>
      <c r="I575" s="7" t="s">
        <v>381</v>
      </c>
      <c r="J575" s="10" t="s">
        <v>382</v>
      </c>
      <c r="K575" s="31">
        <v>55288</v>
      </c>
      <c r="L575" s="31"/>
      <c r="M575" s="31">
        <v>55288</v>
      </c>
      <c r="N575" s="31"/>
      <c r="O575" s="31">
        <v>55288</v>
      </c>
      <c r="P575" s="9" t="s">
        <v>41</v>
      </c>
      <c r="Q575" s="12" t="s">
        <v>93</v>
      </c>
      <c r="T575" s="8">
        <f t="shared" si="11"/>
        <v>55288</v>
      </c>
    </row>
    <row r="576" spans="2:20" x14ac:dyDescent="0.35">
      <c r="B576" s="15">
        <v>574</v>
      </c>
      <c r="C576" s="45">
        <v>46012</v>
      </c>
      <c r="D576" s="10">
        <v>1</v>
      </c>
      <c r="E576" s="29">
        <v>46015</v>
      </c>
      <c r="F576" s="14">
        <v>45992</v>
      </c>
      <c r="G576" s="30" t="s">
        <v>857</v>
      </c>
      <c r="H576" s="7" t="s">
        <v>845</v>
      </c>
      <c r="I576" s="7" t="s">
        <v>846</v>
      </c>
      <c r="J576" s="10" t="s">
        <v>847</v>
      </c>
      <c r="K576" s="31">
        <v>3800</v>
      </c>
      <c r="L576" s="31"/>
      <c r="M576" s="31">
        <v>3800</v>
      </c>
      <c r="N576" s="31"/>
      <c r="O576" s="31">
        <v>3800</v>
      </c>
      <c r="P576" s="9" t="s">
        <v>26</v>
      </c>
      <c r="Q576" s="12" t="s">
        <v>27</v>
      </c>
      <c r="T576" s="8">
        <f t="shared" si="11"/>
        <v>3800</v>
      </c>
    </row>
    <row r="577" spans="2:21" x14ac:dyDescent="0.35">
      <c r="B577" s="15">
        <v>575</v>
      </c>
      <c r="C577" s="45">
        <v>46020</v>
      </c>
      <c r="D577" s="10"/>
      <c r="E577" s="29">
        <v>46020</v>
      </c>
      <c r="F577" s="14">
        <v>45992</v>
      </c>
      <c r="G577" s="30" t="s">
        <v>857</v>
      </c>
      <c r="H577" s="7" t="s">
        <v>848</v>
      </c>
      <c r="I577" s="7" t="s">
        <v>849</v>
      </c>
      <c r="J577" s="10" t="s">
        <v>850</v>
      </c>
      <c r="K577" s="31">
        <v>286169</v>
      </c>
      <c r="L577" s="31"/>
      <c r="M577" s="31">
        <v>286169</v>
      </c>
      <c r="N577" s="31"/>
      <c r="O577" s="31">
        <v>286169</v>
      </c>
      <c r="P577" s="9"/>
      <c r="Q577" s="12"/>
      <c r="T577" s="8">
        <f t="shared" si="11"/>
        <v>286169</v>
      </c>
    </row>
    <row r="578" spans="2:21" x14ac:dyDescent="0.35">
      <c r="B578" s="15">
        <v>576</v>
      </c>
      <c r="C578" s="45">
        <v>46002</v>
      </c>
      <c r="D578" s="10">
        <v>1309</v>
      </c>
      <c r="E578" s="29">
        <v>46020</v>
      </c>
      <c r="F578" s="14">
        <v>45992</v>
      </c>
      <c r="G578" s="30" t="s">
        <v>857</v>
      </c>
      <c r="H578" s="7" t="s">
        <v>523</v>
      </c>
      <c r="I578" s="7" t="s">
        <v>851</v>
      </c>
      <c r="J578" s="10" t="s">
        <v>92</v>
      </c>
      <c r="K578" s="31">
        <v>21510</v>
      </c>
      <c r="L578" s="31">
        <v>3871.7999999999997</v>
      </c>
      <c r="M578" s="31">
        <v>25381.8</v>
      </c>
      <c r="N578" s="31"/>
      <c r="O578" s="31">
        <v>25382</v>
      </c>
      <c r="P578" s="9" t="s">
        <v>26</v>
      </c>
      <c r="Q578" s="12" t="s">
        <v>93</v>
      </c>
      <c r="T578" s="8">
        <f t="shared" si="11"/>
        <v>25382</v>
      </c>
    </row>
    <row r="579" spans="2:21" x14ac:dyDescent="0.35">
      <c r="B579" s="15">
        <v>577</v>
      </c>
      <c r="C579" s="45">
        <v>46012</v>
      </c>
      <c r="D579" s="10">
        <v>47</v>
      </c>
      <c r="E579" s="29">
        <v>46020</v>
      </c>
      <c r="F579" s="14">
        <v>45992</v>
      </c>
      <c r="G579" s="30" t="s">
        <v>857</v>
      </c>
      <c r="H579" s="7" t="s">
        <v>845</v>
      </c>
      <c r="I579" s="7" t="s">
        <v>852</v>
      </c>
      <c r="J579" s="10" t="s">
        <v>853</v>
      </c>
      <c r="K579" s="31">
        <v>4900</v>
      </c>
      <c r="L579" s="31"/>
      <c r="M579" s="31">
        <v>4900</v>
      </c>
      <c r="N579" s="31"/>
      <c r="O579" s="31">
        <v>4900</v>
      </c>
      <c r="P579" s="9" t="s">
        <v>26</v>
      </c>
      <c r="Q579" s="12" t="s">
        <v>20</v>
      </c>
      <c r="T579" s="8">
        <f t="shared" si="11"/>
        <v>4900</v>
      </c>
    </row>
    <row r="580" spans="2:21" x14ac:dyDescent="0.35">
      <c r="B580" s="15">
        <v>578</v>
      </c>
      <c r="C580" s="45">
        <v>46011</v>
      </c>
      <c r="D580" s="10">
        <v>2910</v>
      </c>
      <c r="E580" s="29">
        <v>46020</v>
      </c>
      <c r="F580" s="14">
        <v>45992</v>
      </c>
      <c r="G580" s="30" t="s">
        <v>857</v>
      </c>
      <c r="H580" s="7" t="s">
        <v>836</v>
      </c>
      <c r="I580" s="7" t="s">
        <v>854</v>
      </c>
      <c r="J580" s="10" t="s">
        <v>838</v>
      </c>
      <c r="K580" s="31">
        <v>19067.849999999999</v>
      </c>
      <c r="L580" s="31">
        <v>3432.2129999999997</v>
      </c>
      <c r="M580" s="31">
        <v>22500.062999999998</v>
      </c>
      <c r="N580" s="31"/>
      <c r="O580" s="31">
        <v>3432</v>
      </c>
      <c r="P580" s="9" t="s">
        <v>26</v>
      </c>
      <c r="Q580" s="12" t="s">
        <v>241</v>
      </c>
      <c r="T580" s="8">
        <f t="shared" si="11"/>
        <v>3432</v>
      </c>
    </row>
    <row r="581" spans="2:21" x14ac:dyDescent="0.35">
      <c r="B581" s="15">
        <v>579</v>
      </c>
      <c r="C581" s="45">
        <v>46016</v>
      </c>
      <c r="D581" s="10">
        <v>34</v>
      </c>
      <c r="E581" s="29">
        <v>46021</v>
      </c>
      <c r="F581" s="14">
        <v>45992</v>
      </c>
      <c r="G581" s="30" t="s">
        <v>857</v>
      </c>
      <c r="H581" s="7" t="s">
        <v>845</v>
      </c>
      <c r="I581" s="7" t="s">
        <v>852</v>
      </c>
      <c r="J581" s="10" t="s">
        <v>853</v>
      </c>
      <c r="K581" s="31">
        <v>14700</v>
      </c>
      <c r="L581" s="31"/>
      <c r="M581" s="31">
        <v>14700</v>
      </c>
      <c r="N581" s="31"/>
      <c r="O581" s="31">
        <v>14700</v>
      </c>
      <c r="P581" s="9" t="s">
        <v>26</v>
      </c>
      <c r="Q581" s="12" t="s">
        <v>20</v>
      </c>
      <c r="T581" s="8">
        <f t="shared" si="11"/>
        <v>14700</v>
      </c>
    </row>
    <row r="582" spans="2:21" x14ac:dyDescent="0.35">
      <c r="B582" s="15">
        <v>580</v>
      </c>
      <c r="C582" s="45">
        <v>46019</v>
      </c>
      <c r="D582" s="10">
        <v>72</v>
      </c>
      <c r="E582" s="29">
        <v>46021</v>
      </c>
      <c r="F582" s="14">
        <v>45992</v>
      </c>
      <c r="G582" s="30" t="s">
        <v>857</v>
      </c>
      <c r="H582" s="7" t="s">
        <v>845</v>
      </c>
      <c r="I582" s="7" t="s">
        <v>852</v>
      </c>
      <c r="J582" s="10" t="s">
        <v>853</v>
      </c>
      <c r="K582" s="31">
        <v>4900</v>
      </c>
      <c r="L582" s="31"/>
      <c r="M582" s="31">
        <v>4900</v>
      </c>
      <c r="N582" s="31"/>
      <c r="O582" s="31">
        <v>4900</v>
      </c>
      <c r="P582" s="9" t="s">
        <v>26</v>
      </c>
      <c r="Q582" s="12" t="s">
        <v>20</v>
      </c>
      <c r="T582" s="8">
        <f t="shared" si="11"/>
        <v>4900</v>
      </c>
    </row>
    <row r="583" spans="2:21" x14ac:dyDescent="0.35">
      <c r="B583" s="15">
        <v>581</v>
      </c>
      <c r="C583" s="45">
        <v>46021</v>
      </c>
      <c r="D583" s="10"/>
      <c r="E583" s="29">
        <v>46021</v>
      </c>
      <c r="F583" s="14">
        <v>45992</v>
      </c>
      <c r="G583" s="30" t="s">
        <v>857</v>
      </c>
      <c r="H583" s="7" t="s">
        <v>143</v>
      </c>
      <c r="I583" s="7" t="s">
        <v>144</v>
      </c>
      <c r="J583" s="10" t="s">
        <v>588</v>
      </c>
      <c r="K583" s="31">
        <v>11.8</v>
      </c>
      <c r="L583" s="31"/>
      <c r="M583" s="31">
        <v>11.8</v>
      </c>
      <c r="N583" s="31"/>
      <c r="O583" s="31">
        <v>11.8</v>
      </c>
      <c r="P583" s="9" t="s">
        <v>41</v>
      </c>
      <c r="Q583" s="20" t="s">
        <v>858</v>
      </c>
      <c r="T583" s="8">
        <f t="shared" si="11"/>
        <v>11.8</v>
      </c>
    </row>
    <row r="584" spans="2:21" x14ac:dyDescent="0.35">
      <c r="B584" s="15">
        <v>582</v>
      </c>
      <c r="C584" s="45">
        <v>46002</v>
      </c>
      <c r="D584" s="10"/>
      <c r="E584" s="29">
        <v>46002</v>
      </c>
      <c r="F584" s="14">
        <v>45962</v>
      </c>
      <c r="G584" s="30" t="s">
        <v>857</v>
      </c>
      <c r="H584" s="7" t="s">
        <v>145</v>
      </c>
      <c r="I584" s="7" t="s">
        <v>855</v>
      </c>
      <c r="J584" s="10" t="s">
        <v>147</v>
      </c>
      <c r="K584" s="31">
        <v>777446</v>
      </c>
      <c r="L584" s="31"/>
      <c r="M584" s="31">
        <v>777446</v>
      </c>
      <c r="N584" s="31"/>
      <c r="O584" s="31">
        <v>777446</v>
      </c>
      <c r="P584" s="9" t="s">
        <v>41</v>
      </c>
      <c r="Q584" s="12" t="s">
        <v>93</v>
      </c>
      <c r="T584" s="8">
        <f t="shared" ref="T584" si="12">N584+O584</f>
        <v>777446</v>
      </c>
    </row>
    <row r="586" spans="2:21" ht="28.5" x14ac:dyDescent="0.35">
      <c r="D586" s="10" t="s">
        <v>669</v>
      </c>
      <c r="E586" s="29">
        <v>45966</v>
      </c>
      <c r="F586" s="14">
        <v>45962</v>
      </c>
      <c r="G586" s="30" t="s">
        <v>861</v>
      </c>
      <c r="H586" s="7" t="s">
        <v>287</v>
      </c>
      <c r="I586" s="7" t="s">
        <v>670</v>
      </c>
      <c r="J586" s="10" t="s">
        <v>289</v>
      </c>
      <c r="K586" s="31">
        <v>594663</v>
      </c>
      <c r="L586" s="31">
        <v>107039</v>
      </c>
      <c r="M586" s="31">
        <v>701702</v>
      </c>
      <c r="N586" s="31">
        <v>11893</v>
      </c>
      <c r="O586" s="31">
        <v>689809</v>
      </c>
      <c r="P586" s="9" t="s">
        <v>41</v>
      </c>
      <c r="Q586" s="12" t="s">
        <v>20</v>
      </c>
      <c r="T586" s="8">
        <v>350851</v>
      </c>
      <c r="U586" s="55"/>
    </row>
    <row r="587" spans="2:21" ht="28.5" x14ac:dyDescent="0.35">
      <c r="D587" s="10" t="s">
        <v>671</v>
      </c>
      <c r="E587" s="29">
        <v>45966</v>
      </c>
      <c r="F587" s="14">
        <v>45962</v>
      </c>
      <c r="G587" s="30" t="s">
        <v>861</v>
      </c>
      <c r="H587" s="7" t="s">
        <v>287</v>
      </c>
      <c r="I587" s="7" t="s">
        <v>672</v>
      </c>
      <c r="J587" s="10" t="s">
        <v>289</v>
      </c>
      <c r="K587" s="31">
        <v>749175</v>
      </c>
      <c r="L587" s="31">
        <v>134851</v>
      </c>
      <c r="M587" s="31">
        <v>884026</v>
      </c>
      <c r="N587" s="31">
        <v>14983</v>
      </c>
      <c r="O587" s="31">
        <v>869043</v>
      </c>
      <c r="P587" s="9" t="s">
        <v>41</v>
      </c>
      <c r="Q587" s="12" t="s">
        <v>20</v>
      </c>
      <c r="T587" s="8">
        <v>442013</v>
      </c>
      <c r="U587" s="55"/>
    </row>
    <row r="588" spans="2:21" ht="28.5" x14ac:dyDescent="0.35">
      <c r="D588" s="10" t="s">
        <v>673</v>
      </c>
      <c r="E588" s="29">
        <v>45966</v>
      </c>
      <c r="F588" s="14">
        <v>45962</v>
      </c>
      <c r="G588" s="30" t="s">
        <v>861</v>
      </c>
      <c r="H588" s="7" t="s">
        <v>287</v>
      </c>
      <c r="I588" s="7" t="s">
        <v>670</v>
      </c>
      <c r="J588" s="10" t="s">
        <v>289</v>
      </c>
      <c r="K588" s="31">
        <v>60206</v>
      </c>
      <c r="L588" s="31">
        <v>10837</v>
      </c>
      <c r="M588" s="31">
        <v>71044</v>
      </c>
      <c r="N588" s="31">
        <v>1204</v>
      </c>
      <c r="O588" s="31">
        <v>69839</v>
      </c>
      <c r="P588" s="9" t="s">
        <v>41</v>
      </c>
      <c r="Q588" s="12" t="s">
        <v>20</v>
      </c>
      <c r="T588" s="8">
        <v>35521.5</v>
      </c>
      <c r="U588" s="55"/>
    </row>
    <row r="589" spans="2:21" ht="28.5" x14ac:dyDescent="0.35">
      <c r="D589" s="10" t="s">
        <v>674</v>
      </c>
      <c r="E589" s="29">
        <v>45966</v>
      </c>
      <c r="F589" s="14">
        <v>45962</v>
      </c>
      <c r="G589" s="30" t="s">
        <v>861</v>
      </c>
      <c r="H589" s="7" t="s">
        <v>287</v>
      </c>
      <c r="I589" s="7" t="s">
        <v>675</v>
      </c>
      <c r="J589" s="10" t="s">
        <v>289</v>
      </c>
      <c r="K589" s="31">
        <v>873303</v>
      </c>
      <c r="L589" s="31">
        <v>157195</v>
      </c>
      <c r="M589" s="31">
        <v>1030498</v>
      </c>
      <c r="N589" s="31">
        <v>17466</v>
      </c>
      <c r="O589" s="31">
        <v>1013031</v>
      </c>
      <c r="P589" s="9" t="s">
        <v>41</v>
      </c>
      <c r="Q589" s="12" t="s">
        <v>20</v>
      </c>
      <c r="T589" s="8">
        <v>515248.5</v>
      </c>
      <c r="U589" s="55"/>
    </row>
  </sheetData>
  <autoFilter ref="B1:Q584" xr:uid="{53DBE851-80F1-49A4-9937-5E473DB829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9B3F-666A-4E78-9ACE-1EF94A023817}">
  <dimension ref="A1:S45"/>
  <sheetViews>
    <sheetView showGridLines="0" workbookViewId="0"/>
  </sheetViews>
  <sheetFormatPr defaultRowHeight="14.5" x14ac:dyDescent="0.35"/>
  <cols>
    <col min="1" max="1" width="19.54296875" bestFit="1" customWidth="1"/>
    <col min="2" max="2" width="41.54296875" style="51" customWidth="1"/>
    <col min="15" max="15" width="20.26953125" bestFit="1" customWidth="1"/>
    <col min="16" max="16" width="13.7265625" bestFit="1" customWidth="1"/>
    <col min="17" max="18" width="11.08984375" bestFit="1" customWidth="1"/>
  </cols>
  <sheetData>
    <row r="1" spans="1:19" s="47" customFormat="1" x14ac:dyDescent="0.35">
      <c r="A1" s="47" t="s">
        <v>8</v>
      </c>
      <c r="B1" s="51" t="s">
        <v>856</v>
      </c>
      <c r="C1" s="47" t="s">
        <v>5</v>
      </c>
    </row>
    <row r="2" spans="1:19" x14ac:dyDescent="0.35">
      <c r="A2" t="s">
        <v>27</v>
      </c>
      <c r="B2" s="51">
        <v>5108240.9959373502</v>
      </c>
      <c r="C2" t="s">
        <v>857</v>
      </c>
      <c r="P2" t="s">
        <v>859</v>
      </c>
      <c r="Q2" t="s">
        <v>860</v>
      </c>
      <c r="R2" t="s">
        <v>857</v>
      </c>
      <c r="S2" t="s">
        <v>861</v>
      </c>
    </row>
    <row r="3" spans="1:19" x14ac:dyDescent="0.35">
      <c r="A3" t="s">
        <v>20</v>
      </c>
      <c r="B3" s="51">
        <v>1613900.1483802097</v>
      </c>
      <c r="C3" t="s">
        <v>857</v>
      </c>
      <c r="P3" t="s">
        <v>41</v>
      </c>
    </row>
    <row r="4" spans="1:19" x14ac:dyDescent="0.35">
      <c r="A4" t="s">
        <v>93</v>
      </c>
      <c r="B4" s="51">
        <v>4941421.3436918212</v>
      </c>
      <c r="C4" t="s">
        <v>857</v>
      </c>
      <c r="O4" t="s">
        <v>20</v>
      </c>
      <c r="P4" s="51">
        <f>SUMIFS('1. Maint Account'!T:T,'1. Maint Account'!Q:Q,'OPEX Budget'!O4,'1. Maint Account'!P:P,'OPEX Budget'!$P$3,'1. Maint Account'!G:G,"Q1")</f>
        <v>1502437.76</v>
      </c>
      <c r="Q4" s="51">
        <f>SUMIFS('1. Maint Account'!T:T,'1. Maint Account'!Q:Q,'OPEX Budget'!O4,'1. Maint Account'!P:P,'OPEX Budget'!$P$3,'1. Maint Account'!G:G,"Q2")</f>
        <v>1423952.3271507821</v>
      </c>
      <c r="R4" s="51">
        <f>SUMIFS('1. Maint Account'!T:T,'1. Maint Account'!Q:Q,'OPEX Budget'!O4,'1. Maint Account'!P:P,'OPEX Budget'!$P$3,'1. Maint Account'!G:G,"Q3")</f>
        <v>867538.88</v>
      </c>
    </row>
    <row r="5" spans="1:19" x14ac:dyDescent="0.35">
      <c r="A5" t="s">
        <v>67</v>
      </c>
      <c r="B5" s="51">
        <v>3564038.2265863055</v>
      </c>
      <c r="C5" t="s">
        <v>857</v>
      </c>
      <c r="O5" t="s">
        <v>27</v>
      </c>
      <c r="P5" s="51">
        <f>SUMIFS('1. Maint Account'!T:T,'1. Maint Account'!Q:Q,'OPEX Budget'!O5,'1. Maint Account'!P:P,'OPEX Budget'!$P$3,'1. Maint Account'!G:G,"Q1")</f>
        <v>2209323.62</v>
      </c>
      <c r="Q5" s="51">
        <f>SUMIFS('1. Maint Account'!T:T,'1. Maint Account'!Q:Q,'OPEX Budget'!O5,'1. Maint Account'!P:P,'OPEX Budget'!$P$3,'1. Maint Account'!G:G,"Q2")</f>
        <v>2156778.5051007504</v>
      </c>
      <c r="R5" s="51">
        <f>SUMIFS('1. Maint Account'!T:T,'1. Maint Account'!Q:Q,'OPEX Budget'!O5,'1. Maint Account'!P:P,'OPEX Budget'!$P$3,'1. Maint Account'!G:G,"Q3")</f>
        <v>1441060.754</v>
      </c>
    </row>
    <row r="6" spans="1:19" x14ac:dyDescent="0.35">
      <c r="A6" t="s">
        <v>241</v>
      </c>
      <c r="B6" s="51">
        <v>86939.788398303164</v>
      </c>
      <c r="C6" t="s">
        <v>857</v>
      </c>
      <c r="O6" t="s">
        <v>31</v>
      </c>
      <c r="P6" s="51">
        <f>SUMIFS('1. Maint Account'!T:T,'1. Maint Account'!Q:Q,'OPEX Budget'!O6,'1. Maint Account'!P:P,'OPEX Budget'!$P$3,'1. Maint Account'!G:G,"Q1")</f>
        <v>6553327.6528000003</v>
      </c>
      <c r="Q6" s="51">
        <f>SUMIFS('1. Maint Account'!T:T,'1. Maint Account'!Q:Q,'OPEX Budget'!O6,'1. Maint Account'!P:P,'OPEX Budget'!$P$3,'1. Maint Account'!G:G,"Q2")</f>
        <v>6742150.785600001</v>
      </c>
      <c r="R6" s="51">
        <f>SUMIFS('1. Maint Account'!T:T,'1. Maint Account'!Q:Q,'OPEX Budget'!O6,'1. Maint Account'!P:P,'OPEX Budget'!$P$3,'1. Maint Account'!G:G,"Q3")</f>
        <v>4106979</v>
      </c>
    </row>
    <row r="7" spans="1:19" x14ac:dyDescent="0.35">
      <c r="A7" t="s">
        <v>31</v>
      </c>
      <c r="B7" s="51">
        <v>7311042.3310143137</v>
      </c>
      <c r="C7" t="s">
        <v>857</v>
      </c>
      <c r="O7" t="s">
        <v>47</v>
      </c>
      <c r="P7" s="51">
        <f>SUMIFS('1. Maint Account'!T:T,'1. Maint Account'!Q:Q,'OPEX Budget'!O7,'1. Maint Account'!P:P,'OPEX Budget'!$P$3,'1. Maint Account'!G:G,"Q1")</f>
        <v>1367948.82</v>
      </c>
      <c r="Q7" s="51">
        <f>SUMIFS('1. Maint Account'!T:T,'1. Maint Account'!Q:Q,'OPEX Budget'!O7,'1. Maint Account'!P:P,'OPEX Budget'!$P$3,'1. Maint Account'!G:G,"Q2")</f>
        <v>1060973.380768704</v>
      </c>
      <c r="R7" s="51">
        <f>SUMIFS('1. Maint Account'!T:T,'1. Maint Account'!Q:Q,'OPEX Budget'!O7,'1. Maint Account'!P:P,'OPEX Budget'!$P$3,'1. Maint Account'!G:G,"Q3")</f>
        <v>1163769.94</v>
      </c>
    </row>
    <row r="8" spans="1:19" x14ac:dyDescent="0.35">
      <c r="A8" t="s">
        <v>155</v>
      </c>
      <c r="B8" s="51">
        <v>1747775.575513084</v>
      </c>
      <c r="C8" t="s">
        <v>857</v>
      </c>
      <c r="O8" t="s">
        <v>67</v>
      </c>
      <c r="P8" s="51">
        <f>SUMIFS('1. Maint Account'!T:T,'1. Maint Account'!Q:Q,'OPEX Budget'!O8,'1. Maint Account'!P:P,'OPEX Budget'!$P$3,'1. Maint Account'!G:G,"Q1")</f>
        <v>2857521.3800000004</v>
      </c>
      <c r="Q8" s="51">
        <f>SUMIFS('1. Maint Account'!T:T,'1. Maint Account'!Q:Q,'OPEX Budget'!O8,'1. Maint Account'!P:P,'OPEX Budget'!$P$3,'1. Maint Account'!G:G,"Q2")</f>
        <v>2559429.2402209486</v>
      </c>
      <c r="R8" s="51">
        <f>SUMIFS('1. Maint Account'!T:T,'1. Maint Account'!Q:Q,'OPEX Budget'!O8,'1. Maint Account'!P:P,'OPEX Budget'!$P$3,'1. Maint Account'!G:G,"Q3")</f>
        <v>2060479.4200000002</v>
      </c>
    </row>
    <row r="9" spans="1:19" x14ac:dyDescent="0.35">
      <c r="A9" t="s">
        <v>47</v>
      </c>
      <c r="B9" s="51">
        <v>1956374.4279906088</v>
      </c>
      <c r="C9" t="s">
        <v>857</v>
      </c>
      <c r="O9" t="s">
        <v>93</v>
      </c>
      <c r="P9" s="51">
        <f>SUMIFS('1. Maint Account'!T:T,'1. Maint Account'!Q:Q,'OPEX Budget'!O9,'1. Maint Account'!P:P,'OPEX Budget'!$P$3,'1. Maint Account'!G:G,"Q1")</f>
        <v>3136437.38</v>
      </c>
      <c r="Q9" s="51">
        <f>SUMIFS('1. Maint Account'!T:T,'1. Maint Account'!Q:Q,'OPEX Budget'!O9,'1. Maint Account'!P:P,'OPEX Budget'!$P$3,'1. Maint Account'!G:G,"Q2")</f>
        <v>3860591.2018237547</v>
      </c>
      <c r="R9" s="51">
        <f>SUMIFS('1. Maint Account'!T:T,'1. Maint Account'!Q:Q,'OPEX Budget'!O9,'1. Maint Account'!P:P,'OPEX Budget'!$P$3,'1. Maint Account'!G:G,"Q3")</f>
        <v>2363575.96</v>
      </c>
    </row>
    <row r="10" spans="1:19" x14ac:dyDescent="0.35">
      <c r="A10" t="s">
        <v>858</v>
      </c>
      <c r="B10" s="51">
        <v>343301.96248800331</v>
      </c>
      <c r="C10" t="s">
        <v>857</v>
      </c>
      <c r="O10" t="s">
        <v>155</v>
      </c>
      <c r="P10" s="51">
        <f>SUMIFS('1. Maint Account'!T:T,'1. Maint Account'!Q:Q,'OPEX Budget'!O10,'1. Maint Account'!P:P,'OPEX Budget'!$P$3,'1. Maint Account'!G:G,"Q1")</f>
        <v>1862731.4054</v>
      </c>
      <c r="Q10" s="51">
        <f>SUMIFS('1. Maint Account'!T:T,'1. Maint Account'!Q:Q,'OPEX Budget'!O10,'1. Maint Account'!P:P,'OPEX Budget'!$P$3,'1. Maint Account'!G:G,"Q2")</f>
        <v>1582255</v>
      </c>
      <c r="R10" s="51">
        <f>SUMIFS('1. Maint Account'!T:T,'1. Maint Account'!Q:Q,'OPEX Budget'!O10,'1. Maint Account'!P:P,'OPEX Budget'!$P$3,'1. Maint Account'!G:G,"Q3")</f>
        <v>1091180.56</v>
      </c>
    </row>
    <row r="11" spans="1:19" x14ac:dyDescent="0.35">
      <c r="A11" t="s">
        <v>11</v>
      </c>
      <c r="B11" s="51">
        <f>SUM(B2:B10)</f>
        <v>26673034.799999997</v>
      </c>
      <c r="C11" t="s">
        <v>857</v>
      </c>
      <c r="O11" t="s">
        <v>858</v>
      </c>
      <c r="P11" s="51">
        <f>SUMIFS('1. Maint Account'!T:T,'1. Maint Account'!Q:Q,'OPEX Budget'!O11,'1. Maint Account'!P:P,'OPEX Budget'!$P$3,'1. Maint Account'!G:G,"Q1")</f>
        <v>468239.8</v>
      </c>
      <c r="Q11" s="51">
        <f>SUMIFS('1. Maint Account'!T:T,'1. Maint Account'!Q:Q,'OPEX Budget'!O11,'1. Maint Account'!P:P,'OPEX Budget'!$P$3,'1. Maint Account'!G:G,"Q2")</f>
        <v>424531.28</v>
      </c>
      <c r="R11" s="51">
        <f>SUMIFS('1. Maint Account'!T:T,'1. Maint Account'!Q:Q,'OPEX Budget'!O11,'1. Maint Account'!P:P,'OPEX Budget'!$P$3,'1. Maint Account'!G:G,"Q3")</f>
        <v>212171.24</v>
      </c>
    </row>
    <row r="12" spans="1:19" x14ac:dyDescent="0.35">
      <c r="O12" t="s">
        <v>241</v>
      </c>
      <c r="P12" s="51">
        <f>SUMIFS('1. Maint Account'!T:T,'1. Maint Account'!Q:Q,'OPEX Budget'!O12,'1. Maint Account'!P:P,'OPEX Budget'!$P$3,'1. Maint Account'!G:G,"Q1")</f>
        <v>138303.13</v>
      </c>
      <c r="Q12" s="51">
        <f>SUMIFS('1. Maint Account'!T:T,'1. Maint Account'!Q:Q,'OPEX Budget'!O12,'1. Maint Account'!P:P,'OPEX Budget'!$P$3,'1. Maint Account'!G:G,"Q2")</f>
        <v>84200.932352552452</v>
      </c>
      <c r="R12" s="51">
        <f>SUMIFS('1. Maint Account'!T:T,'1. Maint Account'!Q:Q,'OPEX Budget'!O12,'1. Maint Account'!P:P,'OPEX Budget'!$P$3,'1. Maint Account'!G:G,"Q3")</f>
        <v>94400</v>
      </c>
    </row>
    <row r="13" spans="1:19" x14ac:dyDescent="0.35">
      <c r="A13" s="47"/>
      <c r="C13" s="47"/>
      <c r="P13" s="55">
        <f>SUM(P4:P12)</f>
        <v>20096270.948200002</v>
      </c>
      <c r="Q13" s="55">
        <f>SUM(Q4:Q12)</f>
        <v>19894862.653017495</v>
      </c>
      <c r="R13" s="55">
        <f>SUM(R4:R12)</f>
        <v>13401155.754000001</v>
      </c>
    </row>
    <row r="14" spans="1:19" x14ac:dyDescent="0.35">
      <c r="A14" t="s">
        <v>27</v>
      </c>
      <c r="B14" s="51">
        <v>3696782</v>
      </c>
      <c r="C14" t="s">
        <v>859</v>
      </c>
    </row>
    <row r="15" spans="1:19" x14ac:dyDescent="0.35">
      <c r="A15" t="s">
        <v>20</v>
      </c>
      <c r="B15" s="51">
        <v>1615896</v>
      </c>
      <c r="C15" t="s">
        <v>859</v>
      </c>
    </row>
    <row r="16" spans="1:19" x14ac:dyDescent="0.35">
      <c r="A16" t="s">
        <v>93</v>
      </c>
      <c r="B16" s="51">
        <v>5898302</v>
      </c>
      <c r="C16" t="s">
        <v>859</v>
      </c>
    </row>
    <row r="17" spans="1:3" x14ac:dyDescent="0.35">
      <c r="A17" t="s">
        <v>67</v>
      </c>
      <c r="B17" s="51">
        <v>3087334</v>
      </c>
      <c r="C17" t="s">
        <v>859</v>
      </c>
    </row>
    <row r="18" spans="1:3" x14ac:dyDescent="0.35">
      <c r="A18" t="s">
        <v>241</v>
      </c>
      <c r="B18" s="51">
        <v>72345</v>
      </c>
      <c r="C18" t="s">
        <v>859</v>
      </c>
    </row>
    <row r="19" spans="1:3" x14ac:dyDescent="0.35">
      <c r="A19" t="s">
        <v>31</v>
      </c>
      <c r="B19" s="51">
        <v>7288876</v>
      </c>
      <c r="C19" t="s">
        <v>859</v>
      </c>
    </row>
    <row r="20" spans="1:3" x14ac:dyDescent="0.35">
      <c r="A20" t="s">
        <v>155</v>
      </c>
      <c r="B20" s="51">
        <v>1742477</v>
      </c>
      <c r="C20" t="s">
        <v>859</v>
      </c>
    </row>
    <row r="21" spans="1:3" x14ac:dyDescent="0.35">
      <c r="A21" t="s">
        <v>47</v>
      </c>
      <c r="B21" s="51">
        <v>1585633</v>
      </c>
      <c r="C21" t="s">
        <v>859</v>
      </c>
    </row>
    <row r="22" spans="1:3" x14ac:dyDescent="0.35">
      <c r="A22" t="s">
        <v>858</v>
      </c>
      <c r="B22" s="51">
        <v>322887</v>
      </c>
      <c r="C22" t="s">
        <v>859</v>
      </c>
    </row>
    <row r="23" spans="1:3" x14ac:dyDescent="0.35">
      <c r="A23" t="s">
        <v>11</v>
      </c>
      <c r="B23" s="51">
        <f>SUM(B14:B22)</f>
        <v>25310532</v>
      </c>
      <c r="C23" t="s">
        <v>859</v>
      </c>
    </row>
    <row r="24" spans="1:3" x14ac:dyDescent="0.35">
      <c r="A24" s="47"/>
      <c r="C24" s="47"/>
    </row>
    <row r="25" spans="1:3" x14ac:dyDescent="0.35">
      <c r="A25" t="s">
        <v>27</v>
      </c>
      <c r="B25" s="51">
        <v>4496127.0269219484</v>
      </c>
      <c r="C25" t="s">
        <v>860</v>
      </c>
    </row>
    <row r="26" spans="1:3" x14ac:dyDescent="0.35">
      <c r="A26" t="s">
        <v>20</v>
      </c>
      <c r="B26" s="51">
        <v>1565877.3831107607</v>
      </c>
      <c r="C26" t="s">
        <v>860</v>
      </c>
    </row>
    <row r="27" spans="1:3" x14ac:dyDescent="0.35">
      <c r="A27" t="s">
        <v>93</v>
      </c>
      <c r="B27" s="51">
        <v>4885353.1394187352</v>
      </c>
      <c r="C27" t="s">
        <v>860</v>
      </c>
    </row>
    <row r="28" spans="1:3" x14ac:dyDescent="0.35">
      <c r="A28" t="s">
        <v>67</v>
      </c>
      <c r="B28" s="51">
        <v>1491303.6460721202</v>
      </c>
      <c r="C28" t="s">
        <v>860</v>
      </c>
    </row>
    <row r="29" spans="1:3" x14ac:dyDescent="0.35">
      <c r="A29" t="s">
        <v>241</v>
      </c>
      <c r="B29" s="51">
        <v>29002.09957495159</v>
      </c>
      <c r="C29" t="s">
        <v>860</v>
      </c>
    </row>
    <row r="30" spans="1:3" x14ac:dyDescent="0.35">
      <c r="A30" t="s">
        <v>31</v>
      </c>
      <c r="B30" s="51">
        <v>7407870.3953828318</v>
      </c>
      <c r="C30" t="s">
        <v>860</v>
      </c>
    </row>
    <row r="31" spans="1:3" x14ac:dyDescent="0.35">
      <c r="A31" t="s">
        <v>155</v>
      </c>
      <c r="B31" s="51">
        <v>1770923.2633892153</v>
      </c>
      <c r="C31" t="s">
        <v>860</v>
      </c>
    </row>
    <row r="32" spans="1:3" x14ac:dyDescent="0.35">
      <c r="A32" t="s">
        <v>47</v>
      </c>
      <c r="B32" s="51">
        <v>886861.16334949492</v>
      </c>
      <c r="C32" t="s">
        <v>860</v>
      </c>
    </row>
    <row r="33" spans="1:15" x14ac:dyDescent="0.35">
      <c r="A33" t="s">
        <v>858</v>
      </c>
      <c r="B33" s="51">
        <v>347848.68277993944</v>
      </c>
      <c r="C33" t="s">
        <v>860</v>
      </c>
    </row>
    <row r="34" spans="1:15" x14ac:dyDescent="0.35">
      <c r="A34" t="s">
        <v>11</v>
      </c>
      <c r="B34" s="52">
        <f>SUM(B25:B33)</f>
        <v>22881166.799999993</v>
      </c>
      <c r="C34" t="s">
        <v>860</v>
      </c>
    </row>
    <row r="35" spans="1:15" x14ac:dyDescent="0.35">
      <c r="A35" s="47"/>
      <c r="C35" s="47"/>
    </row>
    <row r="36" spans="1:15" x14ac:dyDescent="0.35">
      <c r="A36" t="s">
        <v>27</v>
      </c>
      <c r="B36" s="51">
        <v>4085895.7952773175</v>
      </c>
      <c r="C36" t="s">
        <v>861</v>
      </c>
    </row>
    <row r="37" spans="1:15" x14ac:dyDescent="0.35">
      <c r="A37" t="s">
        <v>20</v>
      </c>
      <c r="B37" s="51">
        <v>1906166.2501495394</v>
      </c>
      <c r="C37" t="s">
        <v>861</v>
      </c>
    </row>
    <row r="38" spans="1:15" x14ac:dyDescent="0.35">
      <c r="A38" t="s">
        <v>93</v>
      </c>
      <c r="B38" s="51">
        <v>4895832.9844459724</v>
      </c>
      <c r="C38" t="s">
        <v>861</v>
      </c>
    </row>
    <row r="39" spans="1:15" x14ac:dyDescent="0.35">
      <c r="A39" t="s">
        <v>67</v>
      </c>
      <c r="B39" s="51">
        <v>3557939.0461108624</v>
      </c>
      <c r="C39" t="s">
        <v>861</v>
      </c>
    </row>
    <row r="40" spans="1:15" x14ac:dyDescent="0.35">
      <c r="A40" t="s">
        <v>241</v>
      </c>
      <c r="B40" s="51">
        <v>82592.664716596366</v>
      </c>
      <c r="C40" t="s">
        <v>861</v>
      </c>
    </row>
    <row r="41" spans="1:15" x14ac:dyDescent="0.35">
      <c r="A41" t="s">
        <v>31</v>
      </c>
      <c r="B41" s="51">
        <v>6695499.6016105255</v>
      </c>
      <c r="C41" t="s">
        <v>861</v>
      </c>
    </row>
    <row r="42" spans="1:15" x14ac:dyDescent="0.35">
      <c r="A42" t="s">
        <v>155</v>
      </c>
      <c r="B42" s="51">
        <v>1756111.3169340573</v>
      </c>
      <c r="C42" t="s">
        <v>861</v>
      </c>
    </row>
    <row r="43" spans="1:15" x14ac:dyDescent="0.35">
      <c r="A43" t="s">
        <v>47</v>
      </c>
      <c r="B43" s="51">
        <v>1816721.1313920021</v>
      </c>
      <c r="C43" t="s">
        <v>861</v>
      </c>
    </row>
    <row r="44" spans="1:15" x14ac:dyDescent="0.35">
      <c r="A44" t="s">
        <v>858</v>
      </c>
      <c r="B44" s="51">
        <v>362185.705363127</v>
      </c>
      <c r="C44" t="s">
        <v>861</v>
      </c>
    </row>
    <row r="45" spans="1:15" s="47" customFormat="1" x14ac:dyDescent="0.35">
      <c r="A45" s="47" t="s">
        <v>11</v>
      </c>
      <c r="B45" s="52">
        <f>SUM(B36:B44)</f>
        <v>25158944.495999999</v>
      </c>
      <c r="C45" s="47" t="s">
        <v>861</v>
      </c>
      <c r="O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78E6-ABA0-47E1-AD80-C18AB341C80B}">
  <dimension ref="A1:C96"/>
  <sheetViews>
    <sheetView workbookViewId="0"/>
  </sheetViews>
  <sheetFormatPr defaultRowHeight="14.5" x14ac:dyDescent="0.35"/>
  <cols>
    <col min="1" max="1" width="35.54296875" customWidth="1"/>
    <col min="2" max="2" width="30.54296875" bestFit="1" customWidth="1"/>
    <col min="3" max="3" width="11.1796875" bestFit="1" customWidth="1"/>
  </cols>
  <sheetData>
    <row r="1" spans="1:3" x14ac:dyDescent="0.35">
      <c r="A1" s="48" t="s">
        <v>8</v>
      </c>
      <c r="B1" s="49" t="s">
        <v>856</v>
      </c>
      <c r="C1" s="47" t="s">
        <v>5</v>
      </c>
    </row>
    <row r="2" spans="1:3" x14ac:dyDescent="0.35">
      <c r="A2" s="49" t="s">
        <v>30</v>
      </c>
      <c r="B2" s="54">
        <v>0</v>
      </c>
      <c r="C2" s="50" t="s">
        <v>859</v>
      </c>
    </row>
    <row r="3" spans="1:3" x14ac:dyDescent="0.35">
      <c r="A3" s="49" t="s">
        <v>408</v>
      </c>
      <c r="B3" s="54">
        <v>0</v>
      </c>
      <c r="C3" s="50" t="s">
        <v>859</v>
      </c>
    </row>
    <row r="4" spans="1:3" x14ac:dyDescent="0.35">
      <c r="A4" s="49" t="s">
        <v>79</v>
      </c>
      <c r="B4" s="54">
        <v>0</v>
      </c>
      <c r="C4" s="50" t="s">
        <v>859</v>
      </c>
    </row>
    <row r="5" spans="1:3" x14ac:dyDescent="0.35">
      <c r="A5" s="49" t="s">
        <v>82</v>
      </c>
      <c r="B5" s="54">
        <v>0</v>
      </c>
      <c r="C5" s="50" t="s">
        <v>859</v>
      </c>
    </row>
    <row r="6" spans="1:3" x14ac:dyDescent="0.35">
      <c r="A6" s="49" t="s">
        <v>114</v>
      </c>
      <c r="B6" s="54">
        <v>0</v>
      </c>
      <c r="C6" s="50" t="s">
        <v>859</v>
      </c>
    </row>
    <row r="7" spans="1:3" x14ac:dyDescent="0.35">
      <c r="A7" s="49" t="s">
        <v>18</v>
      </c>
      <c r="B7" s="54">
        <v>0</v>
      </c>
      <c r="C7" s="50" t="s">
        <v>859</v>
      </c>
    </row>
    <row r="8" spans="1:3" x14ac:dyDescent="0.35">
      <c r="A8" s="49" t="s">
        <v>193</v>
      </c>
      <c r="B8" s="54">
        <v>0</v>
      </c>
      <c r="C8" s="50" t="s">
        <v>859</v>
      </c>
    </row>
    <row r="9" spans="1:3" x14ac:dyDescent="0.35">
      <c r="A9" s="49" t="s">
        <v>187</v>
      </c>
      <c r="B9" s="54">
        <v>0</v>
      </c>
      <c r="C9" s="50" t="s">
        <v>859</v>
      </c>
    </row>
    <row r="10" spans="1:3" x14ac:dyDescent="0.35">
      <c r="A10" s="49" t="s">
        <v>255</v>
      </c>
      <c r="B10" s="54">
        <v>0</v>
      </c>
      <c r="C10" s="50" t="s">
        <v>859</v>
      </c>
    </row>
    <row r="11" spans="1:3" x14ac:dyDescent="0.35">
      <c r="A11" s="49" t="s">
        <v>281</v>
      </c>
      <c r="B11" s="54">
        <v>0</v>
      </c>
      <c r="C11" s="50" t="s">
        <v>859</v>
      </c>
    </row>
    <row r="12" spans="1:3" x14ac:dyDescent="0.35">
      <c r="A12" s="49" t="s">
        <v>309</v>
      </c>
      <c r="B12" s="54">
        <v>0</v>
      </c>
      <c r="C12" s="50" t="s">
        <v>859</v>
      </c>
    </row>
    <row r="13" spans="1:3" x14ac:dyDescent="0.35">
      <c r="A13" s="49" t="s">
        <v>330</v>
      </c>
      <c r="B13" s="54">
        <v>0</v>
      </c>
      <c r="C13" s="50" t="s">
        <v>859</v>
      </c>
    </row>
    <row r="14" spans="1:3" x14ac:dyDescent="0.35">
      <c r="A14" s="49" t="s">
        <v>361</v>
      </c>
      <c r="B14" s="54">
        <v>0</v>
      </c>
      <c r="C14" s="50" t="s">
        <v>859</v>
      </c>
    </row>
    <row r="15" spans="1:3" x14ac:dyDescent="0.35">
      <c r="A15" s="49" t="s">
        <v>309</v>
      </c>
      <c r="B15" s="54">
        <v>0</v>
      </c>
      <c r="C15" s="50" t="s">
        <v>860</v>
      </c>
    </row>
    <row r="16" spans="1:3" x14ac:dyDescent="0.35">
      <c r="A16" s="49" t="s">
        <v>455</v>
      </c>
      <c r="B16" s="54">
        <v>0</v>
      </c>
      <c r="C16" s="50" t="s">
        <v>860</v>
      </c>
    </row>
    <row r="17" spans="1:3" x14ac:dyDescent="0.35">
      <c r="A17" s="49" t="s">
        <v>85</v>
      </c>
      <c r="B17" s="54">
        <v>0</v>
      </c>
      <c r="C17" s="50" t="s">
        <v>860</v>
      </c>
    </row>
    <row r="18" spans="1:3" x14ac:dyDescent="0.35">
      <c r="A18" s="49" t="s">
        <v>187</v>
      </c>
      <c r="B18" s="54">
        <v>0</v>
      </c>
      <c r="C18" s="50" t="s">
        <v>860</v>
      </c>
    </row>
    <row r="19" spans="1:3" x14ac:dyDescent="0.35">
      <c r="A19" s="49" t="s">
        <v>18</v>
      </c>
      <c r="B19" s="54">
        <v>0</v>
      </c>
      <c r="C19" s="50" t="s">
        <v>860</v>
      </c>
    </row>
    <row r="20" spans="1:3" x14ac:dyDescent="0.35">
      <c r="A20" s="49" t="s">
        <v>483</v>
      </c>
      <c r="B20" s="54">
        <v>0</v>
      </c>
      <c r="C20" s="50" t="s">
        <v>860</v>
      </c>
    </row>
    <row r="21" spans="1:3" x14ac:dyDescent="0.35">
      <c r="A21" s="49" t="s">
        <v>488</v>
      </c>
      <c r="B21" s="54">
        <v>0</v>
      </c>
      <c r="C21" s="50" t="s">
        <v>860</v>
      </c>
    </row>
    <row r="22" spans="1:3" x14ac:dyDescent="0.35">
      <c r="A22" s="49" t="s">
        <v>483</v>
      </c>
      <c r="B22" s="54">
        <v>0</v>
      </c>
      <c r="C22" s="50" t="s">
        <v>857</v>
      </c>
    </row>
    <row r="23" spans="1:3" x14ac:dyDescent="0.35">
      <c r="A23" s="49" t="s">
        <v>455</v>
      </c>
      <c r="B23" s="54">
        <v>0</v>
      </c>
      <c r="C23" s="50" t="s">
        <v>857</v>
      </c>
    </row>
    <row r="24" spans="1:3" x14ac:dyDescent="0.35">
      <c r="A24" s="49" t="s">
        <v>536</v>
      </c>
      <c r="B24" s="54">
        <v>0</v>
      </c>
      <c r="C24" s="50" t="s">
        <v>857</v>
      </c>
    </row>
    <row r="25" spans="1:3" x14ac:dyDescent="0.35">
      <c r="A25" t="s">
        <v>542</v>
      </c>
      <c r="B25" s="54">
        <v>0</v>
      </c>
      <c r="C25" t="s">
        <v>857</v>
      </c>
    </row>
    <row r="26" spans="1:3" x14ac:dyDescent="0.35">
      <c r="A26" s="49" t="s">
        <v>562</v>
      </c>
      <c r="B26" s="54">
        <v>0</v>
      </c>
      <c r="C26" s="50" t="s">
        <v>857</v>
      </c>
    </row>
    <row r="27" spans="1:3" x14ac:dyDescent="0.35">
      <c r="A27" s="49" t="s">
        <v>281</v>
      </c>
      <c r="B27" s="54">
        <v>0</v>
      </c>
      <c r="C27" s="50" t="s">
        <v>857</v>
      </c>
    </row>
    <row r="28" spans="1:3" x14ac:dyDescent="0.35">
      <c r="A28" s="49" t="s">
        <v>488</v>
      </c>
      <c r="B28" s="54">
        <v>0</v>
      </c>
      <c r="C28" s="50" t="s">
        <v>857</v>
      </c>
    </row>
    <row r="29" spans="1:3" x14ac:dyDescent="0.35">
      <c r="A29" s="49" t="s">
        <v>626</v>
      </c>
      <c r="B29" s="54">
        <v>0</v>
      </c>
      <c r="C29" s="50" t="s">
        <v>857</v>
      </c>
    </row>
    <row r="30" spans="1:3" x14ac:dyDescent="0.35">
      <c r="A30" s="49" t="s">
        <v>628</v>
      </c>
      <c r="B30" s="54">
        <v>0</v>
      </c>
      <c r="C30" s="50" t="s">
        <v>857</v>
      </c>
    </row>
    <row r="31" spans="1:3" x14ac:dyDescent="0.35">
      <c r="A31" s="49" t="s">
        <v>464</v>
      </c>
      <c r="B31" s="54">
        <v>0</v>
      </c>
      <c r="C31" s="50" t="s">
        <v>857</v>
      </c>
    </row>
    <row r="32" spans="1:3" x14ac:dyDescent="0.35">
      <c r="A32" s="49" t="s">
        <v>641</v>
      </c>
      <c r="B32" s="54">
        <v>0</v>
      </c>
      <c r="C32" s="50" t="s">
        <v>857</v>
      </c>
    </row>
    <row r="33" spans="1:3" x14ac:dyDescent="0.35">
      <c r="A33" s="49" t="s">
        <v>653</v>
      </c>
      <c r="B33" s="54">
        <v>0</v>
      </c>
      <c r="C33" s="50" t="s">
        <v>857</v>
      </c>
    </row>
    <row r="34" spans="1:3" x14ac:dyDescent="0.35">
      <c r="A34" s="49" t="s">
        <v>656</v>
      </c>
      <c r="B34" s="54">
        <v>0</v>
      </c>
      <c r="C34" s="50" t="s">
        <v>857</v>
      </c>
    </row>
    <row r="35" spans="1:3" x14ac:dyDescent="0.35">
      <c r="A35" s="49" t="s">
        <v>688</v>
      </c>
      <c r="B35" s="54">
        <v>0</v>
      </c>
      <c r="C35" s="50" t="s">
        <v>857</v>
      </c>
    </row>
    <row r="36" spans="1:3" x14ac:dyDescent="0.35">
      <c r="A36" s="49" t="s">
        <v>709</v>
      </c>
      <c r="B36" s="54">
        <v>0</v>
      </c>
      <c r="C36" s="50" t="s">
        <v>857</v>
      </c>
    </row>
    <row r="37" spans="1:3" x14ac:dyDescent="0.35">
      <c r="A37" s="49" t="s">
        <v>749</v>
      </c>
      <c r="B37" s="54">
        <v>0</v>
      </c>
      <c r="C37" s="50" t="s">
        <v>857</v>
      </c>
    </row>
    <row r="38" spans="1:3" x14ac:dyDescent="0.35">
      <c r="A38" s="49" t="s">
        <v>765</v>
      </c>
      <c r="B38" s="54">
        <v>0</v>
      </c>
      <c r="C38" s="50" t="s">
        <v>857</v>
      </c>
    </row>
    <row r="39" spans="1:3" x14ac:dyDescent="0.35">
      <c r="A39" s="49"/>
      <c r="B39" s="53"/>
      <c r="C39" s="50"/>
    </row>
    <row r="40" spans="1:3" x14ac:dyDescent="0.35">
      <c r="A40" s="49"/>
      <c r="B40" s="53"/>
      <c r="C40" s="50"/>
    </row>
    <row r="41" spans="1:3" x14ac:dyDescent="0.35">
      <c r="A41" s="49"/>
      <c r="B41" s="53"/>
      <c r="C41" s="50"/>
    </row>
    <row r="42" spans="1:3" x14ac:dyDescent="0.35">
      <c r="A42" s="49"/>
      <c r="B42" s="53"/>
      <c r="C42" s="50"/>
    </row>
    <row r="43" spans="1:3" x14ac:dyDescent="0.35">
      <c r="A43" s="49"/>
      <c r="B43" s="53"/>
      <c r="C43" s="50"/>
    </row>
    <row r="44" spans="1:3" x14ac:dyDescent="0.35">
      <c r="A44" s="49"/>
      <c r="B44" s="53"/>
      <c r="C44" s="50"/>
    </row>
    <row r="45" spans="1:3" x14ac:dyDescent="0.35">
      <c r="A45" s="49"/>
      <c r="B45" s="53"/>
      <c r="C45" s="50"/>
    </row>
    <row r="46" spans="1:3" x14ac:dyDescent="0.35">
      <c r="A46" s="49"/>
      <c r="B46" s="53"/>
      <c r="C46" s="50"/>
    </row>
    <row r="47" spans="1:3" x14ac:dyDescent="0.35">
      <c r="A47" s="49"/>
      <c r="B47" s="53"/>
      <c r="C47" s="50"/>
    </row>
    <row r="48" spans="1:3" x14ac:dyDescent="0.35">
      <c r="A48" s="49"/>
      <c r="B48" s="53"/>
      <c r="C48" s="50"/>
    </row>
    <row r="50" spans="1:3" x14ac:dyDescent="0.35">
      <c r="A50" s="49"/>
      <c r="B50" s="54"/>
      <c r="C50" s="50"/>
    </row>
    <row r="51" spans="1:3" x14ac:dyDescent="0.35">
      <c r="A51" s="49"/>
      <c r="B51" s="54"/>
      <c r="C51" s="50"/>
    </row>
    <row r="52" spans="1:3" x14ac:dyDescent="0.35">
      <c r="A52" s="49"/>
      <c r="B52" s="54"/>
      <c r="C52" s="50"/>
    </row>
    <row r="53" spans="1:3" x14ac:dyDescent="0.35">
      <c r="A53" s="49"/>
      <c r="B53" s="53"/>
      <c r="C53" s="50"/>
    </row>
    <row r="54" spans="1:3" x14ac:dyDescent="0.35">
      <c r="A54" s="49"/>
      <c r="B54" s="53"/>
      <c r="C54" s="50"/>
    </row>
    <row r="55" spans="1:3" x14ac:dyDescent="0.35">
      <c r="A55" s="49"/>
      <c r="B55" s="53"/>
      <c r="C55" s="50"/>
    </row>
    <row r="56" spans="1:3" x14ac:dyDescent="0.35">
      <c r="A56" s="49"/>
      <c r="B56" s="53"/>
      <c r="C56" s="50"/>
    </row>
    <row r="57" spans="1:3" x14ac:dyDescent="0.35">
      <c r="A57" s="49"/>
      <c r="B57" s="53"/>
      <c r="C57" s="50"/>
    </row>
    <row r="58" spans="1:3" x14ac:dyDescent="0.35">
      <c r="A58" s="49"/>
      <c r="B58" s="53"/>
      <c r="C58" s="50"/>
    </row>
    <row r="59" spans="1:3" x14ac:dyDescent="0.35">
      <c r="A59" s="49"/>
      <c r="B59" s="53"/>
      <c r="C59" s="50"/>
    </row>
    <row r="60" spans="1:3" x14ac:dyDescent="0.35">
      <c r="A60" s="49"/>
      <c r="B60" s="53"/>
      <c r="C60" s="50"/>
    </row>
    <row r="61" spans="1:3" x14ac:dyDescent="0.35">
      <c r="A61" s="49"/>
      <c r="B61" s="53"/>
      <c r="C61" s="50"/>
    </row>
    <row r="62" spans="1:3" x14ac:dyDescent="0.35">
      <c r="A62" s="49"/>
      <c r="B62" s="53"/>
      <c r="C62" s="50"/>
    </row>
    <row r="63" spans="1:3" x14ac:dyDescent="0.35">
      <c r="A63" s="49"/>
      <c r="B63" s="53"/>
      <c r="C63" s="50"/>
    </row>
    <row r="64" spans="1:3" x14ac:dyDescent="0.35">
      <c r="A64" s="49"/>
      <c r="B64" s="53"/>
      <c r="C64" s="50"/>
    </row>
    <row r="65" spans="1:3" x14ac:dyDescent="0.35">
      <c r="A65" s="49"/>
      <c r="B65" s="53"/>
      <c r="C65" s="50"/>
    </row>
    <row r="66" spans="1:3" x14ac:dyDescent="0.35">
      <c r="A66" s="49"/>
      <c r="B66" s="53"/>
      <c r="C66" s="50"/>
    </row>
    <row r="67" spans="1:3" x14ac:dyDescent="0.35">
      <c r="A67" s="49"/>
      <c r="B67" s="53"/>
      <c r="C67" s="50"/>
    </row>
    <row r="68" spans="1:3" x14ac:dyDescent="0.35">
      <c r="A68" s="49"/>
      <c r="B68" s="53"/>
      <c r="C68" s="50"/>
    </row>
    <row r="69" spans="1:3" x14ac:dyDescent="0.35">
      <c r="A69" s="49"/>
      <c r="B69" s="53"/>
      <c r="C69" s="50"/>
    </row>
    <row r="70" spans="1:3" x14ac:dyDescent="0.35">
      <c r="A70" s="49"/>
      <c r="B70" s="53"/>
      <c r="C70" s="50"/>
    </row>
    <row r="71" spans="1:3" x14ac:dyDescent="0.35">
      <c r="A71" s="49"/>
      <c r="B71" s="53"/>
      <c r="C71" s="50"/>
    </row>
    <row r="72" spans="1:3" x14ac:dyDescent="0.35">
      <c r="A72" s="49"/>
      <c r="B72" s="53"/>
      <c r="C72" s="50"/>
    </row>
    <row r="74" spans="1:3" x14ac:dyDescent="0.35">
      <c r="A74" s="49"/>
      <c r="B74" s="54"/>
      <c r="C74" s="50"/>
    </row>
    <row r="75" spans="1:3" x14ac:dyDescent="0.35">
      <c r="A75" s="49"/>
      <c r="B75" s="54"/>
      <c r="C75" s="50"/>
    </row>
    <row r="76" spans="1:3" x14ac:dyDescent="0.35">
      <c r="A76" s="49"/>
      <c r="B76" s="54"/>
      <c r="C76" s="50"/>
    </row>
    <row r="77" spans="1:3" x14ac:dyDescent="0.35">
      <c r="A77" s="49"/>
      <c r="B77" s="53"/>
      <c r="C77" s="50"/>
    </row>
    <row r="78" spans="1:3" x14ac:dyDescent="0.35">
      <c r="A78" s="49"/>
      <c r="B78" s="53"/>
      <c r="C78" s="50"/>
    </row>
    <row r="79" spans="1:3" x14ac:dyDescent="0.35">
      <c r="A79" s="49"/>
      <c r="B79" s="53"/>
      <c r="C79" s="50"/>
    </row>
    <row r="80" spans="1:3" x14ac:dyDescent="0.35">
      <c r="A80" s="49"/>
      <c r="B80" s="53"/>
      <c r="C80" s="50"/>
    </row>
    <row r="81" spans="1:3" x14ac:dyDescent="0.35">
      <c r="A81" s="49"/>
      <c r="B81" s="53"/>
      <c r="C81" s="50"/>
    </row>
    <row r="82" spans="1:3" x14ac:dyDescent="0.35">
      <c r="A82" s="49"/>
      <c r="B82" s="53"/>
      <c r="C82" s="50"/>
    </row>
    <row r="83" spans="1:3" x14ac:dyDescent="0.35">
      <c r="A83" s="49"/>
      <c r="B83" s="53"/>
      <c r="C83" s="50"/>
    </row>
    <row r="84" spans="1:3" x14ac:dyDescent="0.35">
      <c r="A84" s="49"/>
      <c r="B84" s="53"/>
      <c r="C84" s="50"/>
    </row>
    <row r="85" spans="1:3" x14ac:dyDescent="0.35">
      <c r="A85" s="49"/>
      <c r="B85" s="53"/>
      <c r="C85" s="50"/>
    </row>
    <row r="86" spans="1:3" x14ac:dyDescent="0.35">
      <c r="A86" s="49"/>
      <c r="B86" s="53"/>
      <c r="C86" s="50"/>
    </row>
    <row r="87" spans="1:3" x14ac:dyDescent="0.35">
      <c r="A87" s="49"/>
      <c r="B87" s="53"/>
      <c r="C87" s="50"/>
    </row>
    <row r="88" spans="1:3" x14ac:dyDescent="0.35">
      <c r="A88" s="49"/>
      <c r="B88" s="53"/>
      <c r="C88" s="50"/>
    </row>
    <row r="89" spans="1:3" x14ac:dyDescent="0.35">
      <c r="A89" s="49"/>
      <c r="B89" s="53"/>
      <c r="C89" s="50"/>
    </row>
    <row r="90" spans="1:3" x14ac:dyDescent="0.35">
      <c r="A90" s="49"/>
      <c r="B90" s="53"/>
      <c r="C90" s="50"/>
    </row>
    <row r="91" spans="1:3" x14ac:dyDescent="0.35">
      <c r="A91" s="49"/>
      <c r="B91" s="53"/>
      <c r="C91" s="50"/>
    </row>
    <row r="92" spans="1:3" x14ac:dyDescent="0.35">
      <c r="A92" s="49"/>
      <c r="B92" s="53"/>
      <c r="C92" s="50"/>
    </row>
    <row r="93" spans="1:3" x14ac:dyDescent="0.35">
      <c r="A93" s="49"/>
      <c r="B93" s="53"/>
      <c r="C93" s="50"/>
    </row>
    <row r="94" spans="1:3" x14ac:dyDescent="0.35">
      <c r="A94" s="49"/>
      <c r="B94" s="53"/>
      <c r="C94" s="50"/>
    </row>
    <row r="95" spans="1:3" x14ac:dyDescent="0.35">
      <c r="A95" s="49"/>
      <c r="B95" s="53"/>
      <c r="C95" s="50"/>
    </row>
    <row r="96" spans="1:3" x14ac:dyDescent="0.35">
      <c r="A96" s="49"/>
      <c r="B96" s="53"/>
      <c r="C96" s="50"/>
    </row>
  </sheetData>
  <autoFilter ref="C1:C96" xr:uid="{5F298819-FB36-4B08-8455-6F8E1E2E1C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Maint Account</vt:lpstr>
      <vt:lpstr>OPEX Budget</vt:lpstr>
      <vt:lpstr>Capex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BLFAOA Accountant</dc:creator>
  <cp:lastModifiedBy>Adarsh Shetty</cp:lastModifiedBy>
  <dcterms:created xsi:type="dcterms:W3CDTF">2026-01-17T07:47:27Z</dcterms:created>
  <dcterms:modified xsi:type="dcterms:W3CDTF">2026-01-21T06:45:54Z</dcterms:modified>
</cp:coreProperties>
</file>